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potesis" sheetId="1" r:id="rId1"/>
    <sheet name="Proyeccion" sheetId="2" r:id="rId2"/>
    <sheet name="Resumen anual" sheetId="3" r:id="rId3"/>
    <sheet name="Cash flow" sheetId="4" r:id="rId4"/>
    <sheet name="Escenarios" sheetId="5" r:id="rId5"/>
    <sheet name="Not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36.83203125" customWidth="1"/>
    <col min="2" max="2" width="4.83203125" customWidth="1"/>
    <col min="3" max="3" width="14.83203125" customWidth="1"/>
    <col min="4" max="4" width="18.83203125" customWidth="1"/>
    <col min="5" max="5" width="60.83203125" customWidth="1"/>
  </cols>
  <sheetData>
    <row r="1">
      <c r="A1" t="str">
        <v>BARITUR PRO - Modelo financiero</v>
      </c>
    </row>
    <row r="2">
      <c r="A2" t="str">
        <v>Hipotesis editables. Todas las hojas recalculan automaticamente al cambiar estos valores.</v>
      </c>
    </row>
    <row r="4">
      <c r="A4" t="str">
        <v>ADQUISICION (TRAFICO SEO)</v>
      </c>
      <c r="C4" t="str">
        <v>valor</v>
      </c>
      <c r="D4" t="str">
        <v>unidad</v>
      </c>
      <c r="E4" t="str">
        <v>notas</v>
      </c>
    </row>
    <row r="5">
      <c r="A5" t="str">
        <v>Visitas SEO mes 1</v>
      </c>
      <c r="C5">
        <v>200</v>
      </c>
      <c r="D5" t="str">
        <v>visitas/mes</v>
      </c>
      <c r="E5" t="str">
        <v>Estimacion conservadora desde lanzamiento</v>
      </c>
    </row>
    <row r="6">
      <c r="A6" t="str">
        <v>Crecimiento mensual fase inicial</v>
      </c>
      <c r="C6">
        <v>1.45</v>
      </c>
      <c r="D6" t="str">
        <v>x</v>
      </c>
      <c r="E6" t="str">
        <v>45% mes a mes (SEO compounding)</v>
      </c>
    </row>
    <row r="7">
      <c r="A7" t="str">
        <v>Mes en que el crecimiento se modera</v>
      </c>
      <c r="C7">
        <v>9</v>
      </c>
      <c r="D7" t="str">
        <v>mes</v>
      </c>
    </row>
    <row r="8">
      <c r="A8" t="str">
        <v>Crecimiento mensual fase madura</v>
      </c>
      <c r="C8">
        <v>1.12</v>
      </c>
      <c r="D8" t="str">
        <v>x</v>
      </c>
      <c r="E8" t="str">
        <v>12% mes a mes despues del cap</v>
      </c>
    </row>
    <row r="10">
      <c r="A10" t="str">
        <v>CONVERSION</v>
      </c>
      <c r="C10" t="str">
        <v>valor</v>
      </c>
      <c r="D10" t="str">
        <v>unidad</v>
      </c>
    </row>
    <row r="11">
      <c r="A11" t="str">
        <v>% visitas que usan free tools</v>
      </c>
      <c r="C11">
        <v>0.15</v>
      </c>
      <c r="D11" t="str">
        <v>%</v>
      </c>
      <c r="E11" t="str">
        <v>Calculadora, comparador, borrador 650/651</v>
      </c>
    </row>
    <row r="12">
      <c r="A12" t="str">
        <v>% free tool users que inician trial</v>
      </c>
      <c r="C12">
        <v>0.03</v>
      </c>
      <c r="D12" t="str">
        <v>%</v>
      </c>
    </row>
    <row r="13">
      <c r="A13" t="str">
        <v>% trials que convierten a pago</v>
      </c>
      <c r="C13">
        <v>0.3</v>
      </c>
      <c r="D13" t="str">
        <v>%</v>
      </c>
      <c r="E13" t="str">
        <v>Benchmark B2B SaaS especializado</v>
      </c>
    </row>
    <row r="15">
      <c r="A15" t="str">
        <v>CHURN</v>
      </c>
      <c r="C15" t="str">
        <v>valor</v>
      </c>
    </row>
    <row r="16">
      <c r="A16" t="str">
        <v>Churn mensual Y1</v>
      </c>
      <c r="C16">
        <v>0.025</v>
      </c>
      <c r="D16" t="str">
        <v>%/mes</v>
      </c>
    </row>
    <row r="17">
      <c r="A17" t="str">
        <v>Churn mensual Y2</v>
      </c>
      <c r="C17">
        <v>0.02</v>
      </c>
      <c r="D17" t="str">
        <v>%/mes</v>
      </c>
    </row>
    <row r="18">
      <c r="A18" t="str">
        <v>Churn mensual Y3</v>
      </c>
      <c r="C18">
        <v>0.015</v>
      </c>
      <c r="D18" t="str">
        <v>%/mes</v>
      </c>
    </row>
    <row r="20">
      <c r="A20" t="str">
        <v>PRICING Y MIX</v>
      </c>
      <c r="C20" t="str">
        <v>valor</v>
      </c>
    </row>
    <row r="21">
      <c r="A21" t="str">
        <v>Precio INICIA</v>
      </c>
      <c r="C21">
        <v>149</v>
      </c>
      <c r="D21" t="str">
        <v>EUR/mes</v>
      </c>
    </row>
    <row r="22">
      <c r="A22" t="str">
        <v>Precio DESPACHO</v>
      </c>
      <c r="C22">
        <v>349</v>
      </c>
      <c r="D22" t="str">
        <v>EUR/mes</v>
      </c>
    </row>
    <row r="23">
      <c r="A23" t="str">
        <v>Precio FIRMA</v>
      </c>
      <c r="C23">
        <v>749</v>
      </c>
      <c r="D23" t="str">
        <v>EUR/mes</v>
      </c>
    </row>
    <row r="25">
      <c r="A25" t="str">
        <v>% mix INICIA</v>
      </c>
      <c r="C25">
        <v>40</v>
      </c>
      <c r="D25" t="str">
        <v>%</v>
      </c>
    </row>
    <row r="26">
      <c r="A26" t="str">
        <v>% mix DESPACHO</v>
      </c>
      <c r="C26">
        <v>50</v>
      </c>
      <c r="D26" t="str">
        <v>%</v>
      </c>
    </row>
    <row r="27">
      <c r="A27" t="str">
        <v>% mix FIRMA</v>
      </c>
      <c r="C27">
        <v>10</v>
      </c>
      <c r="D27" t="str">
        <v>%</v>
      </c>
    </row>
    <row r="29">
      <c r="A29" t="str">
        <v>COSTES</v>
      </c>
      <c r="C29" t="str">
        <v>valor</v>
      </c>
    </row>
    <row r="30">
      <c r="A30" t="str">
        <v>Coste variable por cliente</v>
      </c>
      <c r="C30">
        <v>35</v>
      </c>
      <c r="D30" t="str">
        <v>EUR/cliente/mes</v>
      </c>
      <c r="E30" t="str">
        <v>Infra+AI+Stripe+Email</v>
      </c>
    </row>
    <row r="31">
      <c r="A31" t="str">
        <v>OPEX fijo mensual Y1</v>
      </c>
      <c r="C31">
        <v>1200</v>
      </c>
      <c r="D31" t="str">
        <v>EUR/mes</v>
      </c>
    </row>
    <row r="32">
      <c r="A32" t="str">
        <v>OPEX fijo mensual Y2</v>
      </c>
      <c r="C32">
        <v>8500</v>
      </c>
      <c r="D32" t="str">
        <v>EUR/mes</v>
      </c>
      <c r="E32" t="str">
        <v>Incluye 1 contratacion soporte</v>
      </c>
    </row>
    <row r="33">
      <c r="A33" t="str">
        <v>OPEX fijo mensual Y3</v>
      </c>
      <c r="C33">
        <v>22000</v>
      </c>
      <c r="D33" t="str">
        <v>EUR/mes</v>
      </c>
      <c r="E33" t="str">
        <v>Soporte + sales + marketing</v>
      </c>
    </row>
    <row r="35">
      <c r="A35" t="str">
        <v>ARPU MEDIO (calculado)</v>
      </c>
      <c r="C35">
        <f>C21*C25+C22*C26+C23*C27</f>
        <v>30900</v>
      </c>
      <c r="D35" t="str">
        <v>EUR/mes</v>
      </c>
      <c r="E35" t="str">
        <v>Mix-weighted (no editar; deriva de Pricing y Mix)</v>
      </c>
    </row>
  </sheetData>
  <ignoredErrors>
    <ignoredError numberStoredAsText="1" sqref="A1:E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0.83203125" customWidth="1"/>
    <col min="5" max="5" width="14.83203125" customWidth="1"/>
    <col min="6" max="6" width="14.83203125" customWidth="1"/>
    <col min="7" max="7" width="10.83203125" customWidth="1"/>
    <col min="8" max="8" width="14.83203125" customWidth="1"/>
    <col min="9" max="9" width="14.83203125" customWidth="1"/>
    <col min="10" max="10" width="16.83203125" customWidth="1"/>
    <col min="11" max="11" width="18.83203125" customWidth="1"/>
    <col min="12" max="12" width="14.83203125" customWidth="1"/>
    <col min="13" max="13" width="14.83203125" customWidth="1"/>
    <col min="14" max="14" width="18.83203125" customWidth="1"/>
  </cols>
  <sheetData>
    <row r="1">
      <c r="A1" t="str">
        <v>PROYECCION MENSUAL - 36 MESES</v>
      </c>
    </row>
    <row r="2">
      <c r="A2" t="str">
        <v>Todas las cifras se recalculan al cambiar las Hipotesis</v>
      </c>
    </row>
    <row r="4">
      <c r="A4" t="str">
        <v>Mes</v>
      </c>
      <c r="B4" t="str">
        <v>Visitas SEO</v>
      </c>
      <c r="C4" t="str">
        <v>Free tool sessions</v>
      </c>
      <c r="D4" t="str">
        <v>Trials</v>
      </c>
      <c r="E4" t="str">
        <v>Nuevos clientes</v>
      </c>
      <c r="F4" t="str">
        <v>Clientes churn</v>
      </c>
      <c r="G4" t="str">
        <v>Net new</v>
      </c>
      <c r="H4" t="str">
        <v>Total clientes</v>
      </c>
      <c r="I4" t="str">
        <v>MRR (EUR)</v>
      </c>
      <c r="J4" t="str">
        <v>ARR (EUR)</v>
      </c>
      <c r="K4" t="str">
        <v>Coste variable (EUR)</v>
      </c>
      <c r="L4" t="str">
        <v>OPEX fijo (EUR)</v>
      </c>
      <c r="M4" t="str">
        <v>EBITDA (EUR)</v>
      </c>
      <c r="N4" t="str">
        <v>Cash acumulado (EUR)</v>
      </c>
    </row>
    <row r="5">
      <c r="A5">
        <v>1</v>
      </c>
      <c r="B5">
        <f>ROUND(Hipotesis!$C$5,0)</f>
        <v>200</v>
      </c>
      <c r="C5">
        <f>ROUND(B5*Hipotesis!$C$11,0)</f>
        <v>30</v>
      </c>
      <c r="D5">
        <f>ROUND(C5*Hipotesis!$C$12,0)</f>
        <v>0</v>
      </c>
      <c r="E5">
        <f>ROUND(D5*Hipotesis!$C$13,0)</f>
        <v>0</v>
      </c>
      <c r="F5">
        <v>0</v>
      </c>
      <c r="G5">
        <f>E5-F5</f>
        <v>0</v>
      </c>
      <c r="H5">
        <f>MAX(0,G5)</f>
        <v>0</v>
      </c>
      <c r="I5">
        <f>ROUND(H5*Hipotesis!$C$35,0)</f>
        <v>0</v>
      </c>
      <c r="J5">
        <f>I5*12</f>
        <v>0</v>
      </c>
      <c r="K5">
        <f>ROUND(H5*Hipotesis!$C$30,0)</f>
        <v>0</v>
      </c>
      <c r="L5">
        <f>Hipotesis!$C$31</f>
        <v>1200</v>
      </c>
      <c r="M5">
        <f>I5-K5-L5</f>
        <v>-1200</v>
      </c>
      <c r="N5">
        <f>M5</f>
        <v>-1200</v>
      </c>
    </row>
    <row r="6">
      <c r="A6">
        <v>2</v>
      </c>
      <c r="B6">
        <f>ROUND(B5*IF(2&lt;=Hipotesis!$C$7,Hipotesis!$C$6,Hipotesis!$C$8),0)</f>
        <v>290</v>
      </c>
      <c r="C6">
        <f>ROUND(B6*Hipotesis!$C$11,0)</f>
        <v>43</v>
      </c>
      <c r="D6">
        <f>ROUND(C6*Hipotesis!$C$12,0)</f>
        <v>1</v>
      </c>
      <c r="E6">
        <f>ROUND(D6*Hipotesis!$C$13,0)</f>
        <v>0</v>
      </c>
      <c r="F6">
        <f>ROUND(H5*Hipotesis!$C$16,0)</f>
        <v>0</v>
      </c>
      <c r="G6">
        <f>E6-F6</f>
        <v>0</v>
      </c>
      <c r="H6">
        <f>MAX(0,H5+G6)</f>
        <v>0</v>
      </c>
      <c r="I6">
        <f>ROUND(H6*Hipotesis!$C$35,0)</f>
        <v>0</v>
      </c>
      <c r="J6">
        <f>I6*12</f>
        <v>0</v>
      </c>
      <c r="K6">
        <f>ROUND(H6*Hipotesis!$C$30,0)</f>
        <v>0</v>
      </c>
      <c r="L6">
        <f>Hipotesis!$C$31</f>
        <v>1200</v>
      </c>
      <c r="M6">
        <f>I6-K6-L6</f>
        <v>-1200</v>
      </c>
      <c r="N6">
        <f>N5+M6</f>
        <v>-2400</v>
      </c>
    </row>
    <row r="7">
      <c r="A7">
        <v>3</v>
      </c>
      <c r="B7">
        <f>ROUND(B6*IF(3&lt;=Hipotesis!$C$7,Hipotesis!$C$6,Hipotesis!$C$8),0)</f>
        <v>420</v>
      </c>
      <c r="C7">
        <f>ROUND(B7*Hipotesis!$C$11,0)</f>
        <v>63</v>
      </c>
      <c r="D7">
        <f>ROUND(C7*Hipotesis!$C$12,0)</f>
        <v>1</v>
      </c>
      <c r="E7">
        <f>ROUND(D7*Hipotesis!$C$13,0)</f>
        <v>0</v>
      </c>
      <c r="F7">
        <f>ROUND(H6*Hipotesis!$C$16,0)</f>
        <v>0</v>
      </c>
      <c r="G7">
        <f>E7-F7</f>
        <v>0</v>
      </c>
      <c r="H7">
        <f>MAX(0,H6+G7)</f>
        <v>0</v>
      </c>
      <c r="I7">
        <f>ROUND(H7*Hipotesis!$C$35,0)</f>
        <v>0</v>
      </c>
      <c r="J7">
        <f>I7*12</f>
        <v>0</v>
      </c>
      <c r="K7">
        <f>ROUND(H7*Hipotesis!$C$30,0)</f>
        <v>0</v>
      </c>
      <c r="L7">
        <f>Hipotesis!$C$31</f>
        <v>1200</v>
      </c>
      <c r="M7">
        <f>I7-K7-L7</f>
        <v>-1200</v>
      </c>
      <c r="N7">
        <f>N6+M7</f>
        <v>-3600</v>
      </c>
    </row>
    <row r="8">
      <c r="A8">
        <v>4</v>
      </c>
      <c r="B8">
        <f>ROUND(B7*IF(4&lt;=Hipotesis!$C$7,Hipotesis!$C$6,Hipotesis!$C$8),0)</f>
        <v>609</v>
      </c>
      <c r="C8">
        <f>ROUND(B8*Hipotesis!$C$11,0)</f>
        <v>91</v>
      </c>
      <c r="D8">
        <f>ROUND(C8*Hipotesis!$C$12,0)</f>
        <v>2</v>
      </c>
      <c r="E8">
        <f>ROUND(D8*Hipotesis!$C$13,0)</f>
        <v>0</v>
      </c>
      <c r="F8">
        <f>ROUND(H7*Hipotesis!$C$16,0)</f>
        <v>0</v>
      </c>
      <c r="G8">
        <f>E8-F8</f>
        <v>0</v>
      </c>
      <c r="H8">
        <f>MAX(0,H7+G8)</f>
        <v>0</v>
      </c>
      <c r="I8">
        <f>ROUND(H8*Hipotesis!$C$35,0)</f>
        <v>0</v>
      </c>
      <c r="J8">
        <f>I8*12</f>
        <v>0</v>
      </c>
      <c r="K8">
        <f>ROUND(H8*Hipotesis!$C$30,0)</f>
        <v>0</v>
      </c>
      <c r="L8">
        <f>Hipotesis!$C$31</f>
        <v>1200</v>
      </c>
      <c r="M8">
        <f>I8-K8-L8</f>
        <v>-1200</v>
      </c>
      <c r="N8">
        <f>N7+M8</f>
        <v>-4800</v>
      </c>
    </row>
    <row r="9">
      <c r="A9">
        <v>5</v>
      </c>
      <c r="B9">
        <f>ROUND(B8*IF(5&lt;=Hipotesis!$C$7,Hipotesis!$C$6,Hipotesis!$C$8),0)</f>
        <v>883</v>
      </c>
      <c r="C9">
        <f>ROUND(B9*Hipotesis!$C$11,0)</f>
        <v>132</v>
      </c>
      <c r="D9">
        <f>ROUND(C9*Hipotesis!$C$12,0)</f>
        <v>3</v>
      </c>
      <c r="E9">
        <f>ROUND(D9*Hipotesis!$C$13,0)</f>
        <v>0</v>
      </c>
      <c r="F9">
        <f>ROUND(H8*Hipotesis!$C$16,0)</f>
        <v>0</v>
      </c>
      <c r="G9">
        <f>E9-F9</f>
        <v>0</v>
      </c>
      <c r="H9">
        <f>MAX(0,H8+G9)</f>
        <v>0</v>
      </c>
      <c r="I9">
        <f>ROUND(H9*Hipotesis!$C$35,0)</f>
        <v>0</v>
      </c>
      <c r="J9">
        <f>I9*12</f>
        <v>0</v>
      </c>
      <c r="K9">
        <f>ROUND(H9*Hipotesis!$C$30,0)</f>
        <v>0</v>
      </c>
      <c r="L9">
        <f>Hipotesis!$C$31</f>
        <v>1200</v>
      </c>
      <c r="M9">
        <f>I9-K9-L9</f>
        <v>-1200</v>
      </c>
      <c r="N9">
        <f>N8+M9</f>
        <v>-6000</v>
      </c>
    </row>
    <row r="10">
      <c r="A10">
        <v>6</v>
      </c>
      <c r="B10">
        <f>ROUND(B9*IF(6&lt;=Hipotesis!$C$7,Hipotesis!$C$6,Hipotesis!$C$8),0)</f>
        <v>1280</v>
      </c>
      <c r="C10">
        <f>ROUND(B10*Hipotesis!$C$11,0)</f>
        <v>192</v>
      </c>
      <c r="D10">
        <f>ROUND(C10*Hipotesis!$C$12,0)</f>
        <v>5</v>
      </c>
      <c r="E10">
        <f>ROUND(D10*Hipotesis!$C$13,0)</f>
        <v>1</v>
      </c>
      <c r="F10">
        <f>ROUND(H9*Hipotesis!$C$16,0)</f>
        <v>0</v>
      </c>
      <c r="G10">
        <f>E10-F10</f>
        <v>1</v>
      </c>
      <c r="H10">
        <f>MAX(0,H9+G10)</f>
        <v>1</v>
      </c>
      <c r="I10">
        <f>ROUND(H10*Hipotesis!$C$35,0)</f>
        <v>309</v>
      </c>
      <c r="J10">
        <f>I10*12</f>
        <v>3708</v>
      </c>
      <c r="K10">
        <f>ROUND(H10*Hipotesis!$C$30,0)</f>
        <v>35</v>
      </c>
      <c r="L10">
        <f>Hipotesis!$C$31</f>
        <v>1200</v>
      </c>
      <c r="M10">
        <f>I10-K10-L10</f>
        <v>-926</v>
      </c>
      <c r="N10">
        <f>N9+M10</f>
        <v>-6926</v>
      </c>
    </row>
    <row r="11">
      <c r="A11">
        <v>7</v>
      </c>
      <c r="B11">
        <f>ROUND(B10*IF(7&lt;=Hipotesis!$C$7,Hipotesis!$C$6,Hipotesis!$C$8),0)</f>
        <v>1856</v>
      </c>
      <c r="C11">
        <f>ROUND(B11*Hipotesis!$C$11,0)</f>
        <v>278</v>
      </c>
      <c r="D11">
        <f>ROUND(C11*Hipotesis!$C$12,0)</f>
        <v>8</v>
      </c>
      <c r="E11">
        <f>ROUND(D11*Hipotesis!$C$13,0)</f>
        <v>2</v>
      </c>
      <c r="F11">
        <f>ROUND(H10*Hipotesis!$C$16,0)</f>
        <v>0</v>
      </c>
      <c r="G11">
        <f>E11-F11</f>
        <v>2</v>
      </c>
      <c r="H11">
        <f>MAX(0,H10+G11)</f>
        <v>3</v>
      </c>
      <c r="I11">
        <f>ROUND(H11*Hipotesis!$C$35,0)</f>
        <v>927</v>
      </c>
      <c r="J11">
        <f>I11*12</f>
        <v>11124</v>
      </c>
      <c r="K11">
        <f>ROUND(H11*Hipotesis!$C$30,0)</f>
        <v>105</v>
      </c>
      <c r="L11">
        <f>Hipotesis!$C$31</f>
        <v>1200</v>
      </c>
      <c r="M11">
        <f>I11-K11-L11</f>
        <v>-378</v>
      </c>
      <c r="N11">
        <f>N10+M11</f>
        <v>-7304</v>
      </c>
    </row>
    <row r="12">
      <c r="A12">
        <v>8</v>
      </c>
      <c r="B12">
        <f>ROUND(B11*IF(8&lt;=Hipotesis!$C$7,Hipotesis!$C$6,Hipotesis!$C$8),0)</f>
        <v>2691</v>
      </c>
      <c r="C12">
        <f>ROUND(B12*Hipotesis!$C$11,0)</f>
        <v>403</v>
      </c>
      <c r="D12">
        <f>ROUND(C12*Hipotesis!$C$12,0)</f>
        <v>12</v>
      </c>
      <c r="E12">
        <f>ROUND(D12*Hipotesis!$C$13,0)</f>
        <v>3</v>
      </c>
      <c r="F12">
        <f>ROUND(H11*Hipotesis!$C$16,0)</f>
        <v>0</v>
      </c>
      <c r="G12">
        <f>E12-F12</f>
        <v>3</v>
      </c>
      <c r="H12">
        <f>MAX(0,H11+G12)</f>
        <v>6</v>
      </c>
      <c r="I12">
        <f>ROUND(H12*Hipotesis!$C$35,0)</f>
        <v>1854</v>
      </c>
      <c r="J12">
        <f>I12*12</f>
        <v>22248</v>
      </c>
      <c r="K12">
        <f>ROUND(H12*Hipotesis!$C$30,0)</f>
        <v>210</v>
      </c>
      <c r="L12">
        <f>Hipotesis!$C$31</f>
        <v>1200</v>
      </c>
      <c r="M12">
        <f>I12-K12-L12</f>
        <v>444</v>
      </c>
      <c r="N12">
        <f>N11+M12</f>
        <v>-6860</v>
      </c>
    </row>
    <row r="13">
      <c r="A13">
        <v>9</v>
      </c>
      <c r="B13">
        <f>ROUND(B12*IF(9&lt;=Hipotesis!$C$7,Hipotesis!$C$6,Hipotesis!$C$8),0)</f>
        <v>3901</v>
      </c>
      <c r="C13">
        <f>ROUND(B13*Hipotesis!$C$11,0)</f>
        <v>585</v>
      </c>
      <c r="D13">
        <f>ROUND(C13*Hipotesis!$C$12,0)</f>
        <v>17</v>
      </c>
      <c r="E13">
        <f>ROUND(D13*Hipotesis!$C$13,0)</f>
        <v>5</v>
      </c>
      <c r="F13">
        <f>ROUND(H12*Hipotesis!$C$16,0)</f>
        <v>0</v>
      </c>
      <c r="G13">
        <f>E13-F13</f>
        <v>5</v>
      </c>
      <c r="H13">
        <f>MAX(0,H12+G13)</f>
        <v>11</v>
      </c>
      <c r="I13">
        <f>ROUND(H13*Hipotesis!$C$35,0)</f>
        <v>3399</v>
      </c>
      <c r="J13">
        <f>I13*12</f>
        <v>40788</v>
      </c>
      <c r="K13">
        <f>ROUND(H13*Hipotesis!$C$30,0)</f>
        <v>385</v>
      </c>
      <c r="L13">
        <f>Hipotesis!$C$31</f>
        <v>1200</v>
      </c>
      <c r="M13">
        <f>I13-K13-L13</f>
        <v>1814</v>
      </c>
      <c r="N13">
        <f>N12+M13</f>
        <v>-5046</v>
      </c>
    </row>
    <row r="14">
      <c r="A14">
        <v>10</v>
      </c>
      <c r="B14">
        <f>ROUND(B13*IF(10&lt;=Hipotesis!$C$7,Hipotesis!$C$6,Hipotesis!$C$8),0)</f>
        <v>4369</v>
      </c>
      <c r="C14">
        <f>ROUND(B14*Hipotesis!$C$11,0)</f>
        <v>655</v>
      </c>
      <c r="D14">
        <f>ROUND(C14*Hipotesis!$C$12,0)</f>
        <v>19</v>
      </c>
      <c r="E14">
        <f>ROUND(D14*Hipotesis!$C$13,0)</f>
        <v>5</v>
      </c>
      <c r="F14">
        <f>ROUND(H13*Hipotesis!$C$16,0)</f>
        <v>0</v>
      </c>
      <c r="G14">
        <f>E14-F14</f>
        <v>5</v>
      </c>
      <c r="H14">
        <f>MAX(0,H13+G14)</f>
        <v>16</v>
      </c>
      <c r="I14">
        <f>ROUND(H14*Hipotesis!$C$35,0)</f>
        <v>4944</v>
      </c>
      <c r="J14">
        <f>I14*12</f>
        <v>59328</v>
      </c>
      <c r="K14">
        <f>ROUND(H14*Hipotesis!$C$30,0)</f>
        <v>560</v>
      </c>
      <c r="L14">
        <f>Hipotesis!$C$31</f>
        <v>1200</v>
      </c>
      <c r="M14">
        <f>I14-K14-L14</f>
        <v>3184</v>
      </c>
      <c r="N14">
        <f>N13+M14</f>
        <v>-1862</v>
      </c>
    </row>
    <row r="15">
      <c r="A15">
        <v>11</v>
      </c>
      <c r="B15">
        <f>ROUND(B14*IF(11&lt;=Hipotesis!$C$7,Hipotesis!$C$6,Hipotesis!$C$8),0)</f>
        <v>4893</v>
      </c>
      <c r="C15">
        <f>ROUND(B15*Hipotesis!$C$11,0)</f>
        <v>733</v>
      </c>
      <c r="D15">
        <f>ROUND(C15*Hipotesis!$C$12,0)</f>
        <v>21</v>
      </c>
      <c r="E15">
        <f>ROUND(D15*Hipotesis!$C$13,0)</f>
        <v>6</v>
      </c>
      <c r="F15">
        <f>ROUND(H14*Hipotesis!$C$16,0)</f>
        <v>0</v>
      </c>
      <c r="G15">
        <f>E15-F15</f>
        <v>6</v>
      </c>
      <c r="H15">
        <f>MAX(0,H14+G15)</f>
        <v>22</v>
      </c>
      <c r="I15">
        <f>ROUND(H15*Hipotesis!$C$35,0)</f>
        <v>6798</v>
      </c>
      <c r="J15">
        <f>I15*12</f>
        <v>81576</v>
      </c>
      <c r="K15">
        <f>ROUND(H15*Hipotesis!$C$30,0)</f>
        <v>770</v>
      </c>
      <c r="L15">
        <f>Hipotesis!$C$31</f>
        <v>1200</v>
      </c>
      <c r="M15">
        <f>I15-K15-L15</f>
        <v>4828</v>
      </c>
      <c r="N15">
        <f>N14+M15</f>
        <v>2966</v>
      </c>
    </row>
    <row r="16">
      <c r="A16">
        <v>12</v>
      </c>
      <c r="B16">
        <f>ROUND(B15*IF(12&lt;=Hipotesis!$C$7,Hipotesis!$C$6,Hipotesis!$C$8),0)</f>
        <v>5480</v>
      </c>
      <c r="C16">
        <f>ROUND(B16*Hipotesis!$C$11,0)</f>
        <v>822</v>
      </c>
      <c r="D16">
        <f>ROUND(C16*Hipotesis!$C$12,0)</f>
        <v>24</v>
      </c>
      <c r="E16">
        <f>ROUND(D16*Hipotesis!$C$13,0)</f>
        <v>7</v>
      </c>
      <c r="F16">
        <f>ROUND(H15*Hipotesis!$C$16,0)</f>
        <v>1</v>
      </c>
      <c r="G16">
        <f>E16-F16</f>
        <v>6</v>
      </c>
      <c r="H16">
        <f>MAX(0,H15+G16)</f>
        <v>28</v>
      </c>
      <c r="I16">
        <f>ROUND(H16*Hipotesis!$C$35,0)</f>
        <v>8652</v>
      </c>
      <c r="J16">
        <f>I16*12</f>
        <v>103824</v>
      </c>
      <c r="K16">
        <f>ROUND(H16*Hipotesis!$C$30,0)</f>
        <v>980</v>
      </c>
      <c r="L16">
        <f>Hipotesis!$C$31</f>
        <v>1200</v>
      </c>
      <c r="M16">
        <f>I16-K16-L16</f>
        <v>6472</v>
      </c>
      <c r="N16">
        <f>N15+M16</f>
        <v>9438</v>
      </c>
    </row>
    <row r="17">
      <c r="A17">
        <v>13</v>
      </c>
      <c r="B17">
        <f>ROUND(B16*IF(13&lt;=Hipotesis!$C$7,Hipotesis!$C$6,Hipotesis!$C$8),0)</f>
        <v>6137</v>
      </c>
      <c r="C17">
        <f>ROUND(B17*Hipotesis!$C$11,0)</f>
        <v>920</v>
      </c>
      <c r="D17">
        <f>ROUND(C17*Hipotesis!$C$12,0)</f>
        <v>27</v>
      </c>
      <c r="E17">
        <f>ROUND(D17*Hipotesis!$C$13,0)</f>
        <v>8</v>
      </c>
      <c r="F17">
        <f>ROUND(H16*Hipotesis!$C$17,0)</f>
        <v>1</v>
      </c>
      <c r="G17">
        <f>E17-F17</f>
        <v>7</v>
      </c>
      <c r="H17">
        <f>MAX(0,H16+G17)</f>
        <v>35</v>
      </c>
      <c r="I17">
        <f>ROUND(H17*Hipotesis!$C$35,0)</f>
        <v>10815</v>
      </c>
      <c r="J17">
        <f>I17*12</f>
        <v>129780</v>
      </c>
      <c r="K17">
        <f>ROUND(H17*Hipotesis!$C$30,0)</f>
        <v>1225</v>
      </c>
      <c r="L17">
        <f>Hipotesis!$C$32</f>
        <v>8500</v>
      </c>
      <c r="M17">
        <f>I17-K17-L17</f>
        <v>1090</v>
      </c>
      <c r="N17">
        <f>N16+M17</f>
        <v>10528</v>
      </c>
    </row>
    <row r="18">
      <c r="A18">
        <v>14</v>
      </c>
      <c r="B18">
        <f>ROUND(B17*IF(14&lt;=Hipotesis!$C$7,Hipotesis!$C$6,Hipotesis!$C$8),0)</f>
        <v>6873</v>
      </c>
      <c r="C18">
        <f>ROUND(B18*Hipotesis!$C$11,0)</f>
        <v>1030</v>
      </c>
      <c r="D18">
        <f>ROUND(C18*Hipotesis!$C$12,0)</f>
        <v>30</v>
      </c>
      <c r="E18">
        <f>ROUND(D18*Hipotesis!$C$13,0)</f>
        <v>9</v>
      </c>
      <c r="F18">
        <f>ROUND(H17*Hipotesis!$C$17,0)</f>
        <v>1</v>
      </c>
      <c r="G18">
        <f>E18-F18</f>
        <v>8</v>
      </c>
      <c r="H18">
        <f>MAX(0,H17+G18)</f>
        <v>43</v>
      </c>
      <c r="I18">
        <f>ROUND(H18*Hipotesis!$C$35,0)</f>
        <v>13287</v>
      </c>
      <c r="J18">
        <f>I18*12</f>
        <v>159444</v>
      </c>
      <c r="K18">
        <f>ROUND(H18*Hipotesis!$C$30,0)</f>
        <v>1505</v>
      </c>
      <c r="L18">
        <f>Hipotesis!$C$32</f>
        <v>8500</v>
      </c>
      <c r="M18">
        <f>I18-K18-L18</f>
        <v>3282</v>
      </c>
      <c r="N18">
        <f>N17+M18</f>
        <v>13810</v>
      </c>
    </row>
    <row r="19">
      <c r="A19">
        <v>15</v>
      </c>
      <c r="B19">
        <f>ROUND(B18*IF(15&lt;=Hipotesis!$C$7,Hipotesis!$C$6,Hipotesis!$C$8),0)</f>
        <v>7697</v>
      </c>
      <c r="C19">
        <f>ROUND(B19*Hipotesis!$C$11,0)</f>
        <v>1154</v>
      </c>
      <c r="D19">
        <f>ROUND(C19*Hipotesis!$C$12,0)</f>
        <v>34</v>
      </c>
      <c r="E19">
        <f>ROUND(D19*Hipotesis!$C$13,0)</f>
        <v>10</v>
      </c>
      <c r="F19">
        <f>ROUND(H18*Hipotesis!$C$17,0)</f>
        <v>1</v>
      </c>
      <c r="G19">
        <f>E19-F19</f>
        <v>9</v>
      </c>
      <c r="H19">
        <f>MAX(0,H18+G19)</f>
        <v>52</v>
      </c>
      <c r="I19">
        <f>ROUND(H19*Hipotesis!$C$35,0)</f>
        <v>16068</v>
      </c>
      <c r="J19">
        <f>I19*12</f>
        <v>192816</v>
      </c>
      <c r="K19">
        <f>ROUND(H19*Hipotesis!$C$30,0)</f>
        <v>1820</v>
      </c>
      <c r="L19">
        <f>Hipotesis!$C$32</f>
        <v>8500</v>
      </c>
      <c r="M19">
        <f>I19-K19-L19</f>
        <v>5748</v>
      </c>
      <c r="N19">
        <f>N18+M19</f>
        <v>19558</v>
      </c>
    </row>
    <row r="20">
      <c r="A20">
        <v>16</v>
      </c>
      <c r="B20">
        <f>ROUND(B19*IF(16&lt;=Hipotesis!$C$7,Hipotesis!$C$6,Hipotesis!$C$8),0)</f>
        <v>8620</v>
      </c>
      <c r="C20">
        <f>ROUND(B20*Hipotesis!$C$11,0)</f>
        <v>1293</v>
      </c>
      <c r="D20">
        <f>ROUND(C20*Hipotesis!$C$12,0)</f>
        <v>38</v>
      </c>
      <c r="E20">
        <f>ROUND(D20*Hipotesis!$C$13,0)</f>
        <v>11</v>
      </c>
      <c r="F20">
        <f>ROUND(H19*Hipotesis!$C$17,0)</f>
        <v>1</v>
      </c>
      <c r="G20">
        <f>E20-F20</f>
        <v>10</v>
      </c>
      <c r="H20">
        <f>MAX(0,H19+G20)</f>
        <v>62</v>
      </c>
      <c r="I20">
        <f>ROUND(H20*Hipotesis!$C$35,0)</f>
        <v>19158</v>
      </c>
      <c r="J20">
        <f>I20*12</f>
        <v>229896</v>
      </c>
      <c r="K20">
        <f>ROUND(H20*Hipotesis!$C$30,0)</f>
        <v>2170</v>
      </c>
      <c r="L20">
        <f>Hipotesis!$C$32</f>
        <v>8500</v>
      </c>
      <c r="M20">
        <f>I20-K20-L20</f>
        <v>8488</v>
      </c>
      <c r="N20">
        <f>N19+M20</f>
        <v>28046</v>
      </c>
    </row>
    <row r="21">
      <c r="A21">
        <v>17</v>
      </c>
      <c r="B21">
        <f>ROUND(B20*IF(17&lt;=Hipotesis!$C$7,Hipotesis!$C$6,Hipotesis!$C$8),0)</f>
        <v>9654</v>
      </c>
      <c r="C21">
        <f>ROUND(B21*Hipotesis!$C$11,0)</f>
        <v>1448</v>
      </c>
      <c r="D21">
        <f>ROUND(C21*Hipotesis!$C$12,0)</f>
        <v>43</v>
      </c>
      <c r="E21">
        <f>ROUND(D21*Hipotesis!$C$13,0)</f>
        <v>12</v>
      </c>
      <c r="F21">
        <f>ROUND(H20*Hipotesis!$C$17,0)</f>
        <v>1</v>
      </c>
      <c r="G21">
        <f>E21-F21</f>
        <v>11</v>
      </c>
      <c r="H21">
        <f>MAX(0,H20+G21)</f>
        <v>73</v>
      </c>
      <c r="I21">
        <f>ROUND(H21*Hipotesis!$C$35,0)</f>
        <v>22557</v>
      </c>
      <c r="J21">
        <f>I21*12</f>
        <v>270684</v>
      </c>
      <c r="K21">
        <f>ROUND(H21*Hipotesis!$C$30,0)</f>
        <v>2555</v>
      </c>
      <c r="L21">
        <f>Hipotesis!$C$32</f>
        <v>8500</v>
      </c>
      <c r="M21">
        <f>I21-K21-L21</f>
        <v>11502</v>
      </c>
      <c r="N21">
        <f>N20+M21</f>
        <v>39548</v>
      </c>
    </row>
    <row r="22">
      <c r="A22">
        <v>18</v>
      </c>
      <c r="B22">
        <f>ROUND(B21*IF(18&lt;=Hipotesis!$C$7,Hipotesis!$C$6,Hipotesis!$C$8),0)</f>
        <v>10812</v>
      </c>
      <c r="C22">
        <f>ROUND(B22*Hipotesis!$C$11,0)</f>
        <v>1621</v>
      </c>
      <c r="D22">
        <f>ROUND(C22*Hipotesis!$C$12,0)</f>
        <v>48</v>
      </c>
      <c r="E22">
        <f>ROUND(D22*Hipotesis!$C$13,0)</f>
        <v>14</v>
      </c>
      <c r="F22">
        <f>ROUND(H21*Hipotesis!$C$17,0)</f>
        <v>1</v>
      </c>
      <c r="G22">
        <f>E22-F22</f>
        <v>13</v>
      </c>
      <c r="H22">
        <f>MAX(0,H21+G22)</f>
        <v>86</v>
      </c>
      <c r="I22">
        <f>ROUND(H22*Hipotesis!$C$35,0)</f>
        <v>26574</v>
      </c>
      <c r="J22">
        <f>I22*12</f>
        <v>318888</v>
      </c>
      <c r="K22">
        <f>ROUND(H22*Hipotesis!$C$30,0)</f>
        <v>3010</v>
      </c>
      <c r="L22">
        <f>Hipotesis!$C$32</f>
        <v>8500</v>
      </c>
      <c r="M22">
        <f>I22-K22-L22</f>
        <v>15064</v>
      </c>
      <c r="N22">
        <f>N21+M22</f>
        <v>54612</v>
      </c>
    </row>
    <row r="23">
      <c r="A23">
        <v>19</v>
      </c>
      <c r="B23">
        <f>ROUND(B22*IF(19&lt;=Hipotesis!$C$7,Hipotesis!$C$6,Hipotesis!$C$8),0)</f>
        <v>12109</v>
      </c>
      <c r="C23">
        <f>ROUND(B23*Hipotesis!$C$11,0)</f>
        <v>1816</v>
      </c>
      <c r="D23">
        <f>ROUND(C23*Hipotesis!$C$12,0)</f>
        <v>54</v>
      </c>
      <c r="E23">
        <f>ROUND(D23*Hipotesis!$C$13,0)</f>
        <v>16</v>
      </c>
      <c r="F23">
        <f>ROUND(H22*Hipotesis!$C$17,0)</f>
        <v>2</v>
      </c>
      <c r="G23">
        <f>E23-F23</f>
        <v>14</v>
      </c>
      <c r="H23">
        <f>MAX(0,H22+G23)</f>
        <v>100</v>
      </c>
      <c r="I23">
        <f>ROUND(H23*Hipotesis!$C$35,0)</f>
        <v>30900</v>
      </c>
      <c r="J23">
        <f>I23*12</f>
        <v>370800</v>
      </c>
      <c r="K23">
        <f>ROUND(H23*Hipotesis!$C$30,0)</f>
        <v>3500</v>
      </c>
      <c r="L23">
        <f>Hipotesis!$C$32</f>
        <v>8500</v>
      </c>
      <c r="M23">
        <f>I23-K23-L23</f>
        <v>18900</v>
      </c>
      <c r="N23">
        <f>N22+M23</f>
        <v>73512</v>
      </c>
    </row>
    <row r="24">
      <c r="A24">
        <v>20</v>
      </c>
      <c r="B24">
        <f>ROUND(B23*IF(20&lt;=Hipotesis!$C$7,Hipotesis!$C$6,Hipotesis!$C$8),0)</f>
        <v>13562</v>
      </c>
      <c r="C24">
        <f>ROUND(B24*Hipotesis!$C$11,0)</f>
        <v>2034</v>
      </c>
      <c r="D24">
        <f>ROUND(C24*Hipotesis!$C$12,0)</f>
        <v>61</v>
      </c>
      <c r="E24">
        <f>ROUND(D24*Hipotesis!$C$13,0)</f>
        <v>18</v>
      </c>
      <c r="F24">
        <f>ROUND(H23*Hipotesis!$C$17,0)</f>
        <v>2</v>
      </c>
      <c r="G24">
        <f>E24-F24</f>
        <v>16</v>
      </c>
      <c r="H24">
        <f>MAX(0,H23+G24)</f>
        <v>116</v>
      </c>
      <c r="I24">
        <f>ROUND(H24*Hipotesis!$C$35,0)</f>
        <v>35844</v>
      </c>
      <c r="J24">
        <f>I24*12</f>
        <v>430128</v>
      </c>
      <c r="K24">
        <f>ROUND(H24*Hipotesis!$C$30,0)</f>
        <v>4060</v>
      </c>
      <c r="L24">
        <f>Hipotesis!$C$32</f>
        <v>8500</v>
      </c>
      <c r="M24">
        <f>I24-K24-L24</f>
        <v>23284</v>
      </c>
      <c r="N24">
        <f>N23+M24</f>
        <v>96796</v>
      </c>
    </row>
    <row r="25">
      <c r="A25">
        <v>21</v>
      </c>
      <c r="B25">
        <f>ROUND(B24*IF(21&lt;=Hipotesis!$C$7,Hipotesis!$C$6,Hipotesis!$C$8),0)</f>
        <v>15189</v>
      </c>
      <c r="C25">
        <f>ROUND(B25*Hipotesis!$C$11,0)</f>
        <v>2278</v>
      </c>
      <c r="D25">
        <f>ROUND(C25*Hipotesis!$C$12,0)</f>
        <v>68</v>
      </c>
      <c r="E25">
        <f>ROUND(D25*Hipotesis!$C$13,0)</f>
        <v>20</v>
      </c>
      <c r="F25">
        <f>ROUND(H24*Hipotesis!$C$17,0)</f>
        <v>2</v>
      </c>
      <c r="G25">
        <f>E25-F25</f>
        <v>18</v>
      </c>
      <c r="H25">
        <f>MAX(0,H24+G25)</f>
        <v>134</v>
      </c>
      <c r="I25">
        <f>ROUND(H25*Hipotesis!$C$35,0)</f>
        <v>41406</v>
      </c>
      <c r="J25">
        <f>I25*12</f>
        <v>496872</v>
      </c>
      <c r="K25">
        <f>ROUND(H25*Hipotesis!$C$30,0)</f>
        <v>4690</v>
      </c>
      <c r="L25">
        <f>Hipotesis!$C$32</f>
        <v>8500</v>
      </c>
      <c r="M25">
        <f>I25-K25-L25</f>
        <v>28216</v>
      </c>
      <c r="N25">
        <f>N24+M25</f>
        <v>125012</v>
      </c>
    </row>
    <row r="26">
      <c r="A26">
        <v>22</v>
      </c>
      <c r="B26">
        <f>ROUND(B25*IF(22&lt;=Hipotesis!$C$7,Hipotesis!$C$6,Hipotesis!$C$8),0)</f>
        <v>17011</v>
      </c>
      <c r="C26">
        <f>ROUND(B26*Hipotesis!$C$11,0)</f>
        <v>2551</v>
      </c>
      <c r="D26">
        <f>ROUND(C26*Hipotesis!$C$12,0)</f>
        <v>76</v>
      </c>
      <c r="E26">
        <f>ROUND(D26*Hipotesis!$C$13,0)</f>
        <v>22</v>
      </c>
      <c r="F26">
        <f>ROUND(H25*Hipotesis!$C$17,0)</f>
        <v>3</v>
      </c>
      <c r="G26">
        <f>E26-F26</f>
        <v>19</v>
      </c>
      <c r="H26">
        <f>MAX(0,H25+G26)</f>
        <v>153</v>
      </c>
      <c r="I26">
        <f>ROUND(H26*Hipotesis!$C$35,0)</f>
        <v>47277</v>
      </c>
      <c r="J26">
        <f>I26*12</f>
        <v>567324</v>
      </c>
      <c r="K26">
        <f>ROUND(H26*Hipotesis!$C$30,0)</f>
        <v>5355</v>
      </c>
      <c r="L26">
        <f>Hipotesis!$C$32</f>
        <v>8500</v>
      </c>
      <c r="M26">
        <f>I26-K26-L26</f>
        <v>33422</v>
      </c>
      <c r="N26">
        <f>N25+M26</f>
        <v>158434</v>
      </c>
    </row>
    <row r="27">
      <c r="A27">
        <v>23</v>
      </c>
      <c r="B27">
        <f>ROUND(B26*IF(23&lt;=Hipotesis!$C$7,Hipotesis!$C$6,Hipotesis!$C$8),0)</f>
        <v>19052</v>
      </c>
      <c r="C27">
        <f>ROUND(B27*Hipotesis!$C$11,0)</f>
        <v>2857</v>
      </c>
      <c r="D27">
        <f>ROUND(C27*Hipotesis!$C$12,0)</f>
        <v>85</v>
      </c>
      <c r="E27">
        <f>ROUND(D27*Hipotesis!$C$13,0)</f>
        <v>25</v>
      </c>
      <c r="F27">
        <f>ROUND(H26*Hipotesis!$C$17,0)</f>
        <v>3</v>
      </c>
      <c r="G27">
        <f>E27-F27</f>
        <v>22</v>
      </c>
      <c r="H27">
        <f>MAX(0,H26+G27)</f>
        <v>175</v>
      </c>
      <c r="I27">
        <f>ROUND(H27*Hipotesis!$C$35,0)</f>
        <v>54075</v>
      </c>
      <c r="J27">
        <f>I27*12</f>
        <v>648900</v>
      </c>
      <c r="K27">
        <f>ROUND(H27*Hipotesis!$C$30,0)</f>
        <v>6125</v>
      </c>
      <c r="L27">
        <f>Hipotesis!$C$32</f>
        <v>8500</v>
      </c>
      <c r="M27">
        <f>I27-K27-L27</f>
        <v>39450</v>
      </c>
      <c r="N27">
        <f>N26+M27</f>
        <v>197884</v>
      </c>
    </row>
    <row r="28">
      <c r="A28">
        <v>24</v>
      </c>
      <c r="B28">
        <f>ROUND(B27*IF(24&lt;=Hipotesis!$C$7,Hipotesis!$C$6,Hipotesis!$C$8),0)</f>
        <v>21338</v>
      </c>
      <c r="C28">
        <f>ROUND(B28*Hipotesis!$C$11,0)</f>
        <v>3200</v>
      </c>
      <c r="D28">
        <f>ROUND(C28*Hipotesis!$C$12,0)</f>
        <v>96</v>
      </c>
      <c r="E28">
        <f>ROUND(D28*Hipotesis!$C$13,0)</f>
        <v>28</v>
      </c>
      <c r="F28">
        <f>ROUND(H27*Hipotesis!$C$17,0)</f>
        <v>4</v>
      </c>
      <c r="G28">
        <f>E28-F28</f>
        <v>24</v>
      </c>
      <c r="H28">
        <f>MAX(0,H27+G28)</f>
        <v>199</v>
      </c>
      <c r="I28">
        <f>ROUND(H28*Hipotesis!$C$35,0)</f>
        <v>61491</v>
      </c>
      <c r="J28">
        <f>I28*12</f>
        <v>737892</v>
      </c>
      <c r="K28">
        <f>ROUND(H28*Hipotesis!$C$30,0)</f>
        <v>6965</v>
      </c>
      <c r="L28">
        <f>Hipotesis!$C$32</f>
        <v>8500</v>
      </c>
      <c r="M28">
        <f>I28-K28-L28</f>
        <v>46026</v>
      </c>
      <c r="N28">
        <f>N27+M28</f>
        <v>243910</v>
      </c>
    </row>
    <row r="29">
      <c r="A29">
        <v>25</v>
      </c>
      <c r="B29">
        <f>ROUND(B28*IF(25&lt;=Hipotesis!$C$7,Hipotesis!$C$6,Hipotesis!$C$8),0)</f>
        <v>23898</v>
      </c>
      <c r="C29">
        <f>ROUND(B29*Hipotesis!$C$11,0)</f>
        <v>3584</v>
      </c>
      <c r="D29">
        <f>ROUND(C29*Hipotesis!$C$12,0)</f>
        <v>107</v>
      </c>
      <c r="E29">
        <f>ROUND(D29*Hipotesis!$C$13,0)</f>
        <v>32</v>
      </c>
      <c r="F29">
        <f>ROUND(H28*Hipotesis!$C$18,0)</f>
        <v>3</v>
      </c>
      <c r="G29">
        <f>E29-F29</f>
        <v>29</v>
      </c>
      <c r="H29">
        <f>MAX(0,H28+G29)</f>
        <v>228</v>
      </c>
      <c r="I29">
        <f>ROUND(H29*Hipotesis!$C$35,0)</f>
        <v>70452</v>
      </c>
      <c r="J29">
        <f>I29*12</f>
        <v>845424</v>
      </c>
      <c r="K29">
        <f>ROUND(H29*Hipotesis!$C$30,0)</f>
        <v>7980</v>
      </c>
      <c r="L29">
        <f>Hipotesis!$C$33</f>
        <v>22000</v>
      </c>
      <c r="M29">
        <f>I29-K29-L29</f>
        <v>40472</v>
      </c>
      <c r="N29">
        <f>N28+M29</f>
        <v>284382</v>
      </c>
    </row>
    <row r="30">
      <c r="A30">
        <v>26</v>
      </c>
      <c r="B30">
        <f>ROUND(B29*IF(26&lt;=Hipotesis!$C$7,Hipotesis!$C$6,Hipotesis!$C$8),0)</f>
        <v>26765</v>
      </c>
      <c r="C30">
        <f>ROUND(B30*Hipotesis!$C$11,0)</f>
        <v>4014</v>
      </c>
      <c r="D30">
        <f>ROUND(C30*Hipotesis!$C$12,0)</f>
        <v>120</v>
      </c>
      <c r="E30">
        <f>ROUND(D30*Hipotesis!$C$13,0)</f>
        <v>36</v>
      </c>
      <c r="F30">
        <f>ROUND(H29*Hipotesis!$C$18,0)</f>
        <v>3</v>
      </c>
      <c r="G30">
        <f>E30-F30</f>
        <v>33</v>
      </c>
      <c r="H30">
        <f>MAX(0,H29+G30)</f>
        <v>261</v>
      </c>
      <c r="I30">
        <f>ROUND(H30*Hipotesis!$C$35,0)</f>
        <v>80649</v>
      </c>
      <c r="J30">
        <f>I30*12</f>
        <v>967788</v>
      </c>
      <c r="K30">
        <f>ROUND(H30*Hipotesis!$C$30,0)</f>
        <v>9135</v>
      </c>
      <c r="L30">
        <f>Hipotesis!$C$33</f>
        <v>22000</v>
      </c>
      <c r="M30">
        <f>I30-K30-L30</f>
        <v>49514</v>
      </c>
      <c r="N30">
        <f>N29+M30</f>
        <v>333896</v>
      </c>
    </row>
    <row r="31">
      <c r="A31">
        <v>27</v>
      </c>
      <c r="B31">
        <f>ROUND(B30*IF(27&lt;=Hipotesis!$C$7,Hipotesis!$C$6,Hipotesis!$C$8),0)</f>
        <v>29976</v>
      </c>
      <c r="C31">
        <f>ROUND(B31*Hipotesis!$C$11,0)</f>
        <v>4496</v>
      </c>
      <c r="D31">
        <f>ROUND(C31*Hipotesis!$C$12,0)</f>
        <v>134</v>
      </c>
      <c r="E31">
        <f>ROUND(D31*Hipotesis!$C$13,0)</f>
        <v>40</v>
      </c>
      <c r="F31">
        <f>ROUND(H30*Hipotesis!$C$18,0)</f>
        <v>4</v>
      </c>
      <c r="G31">
        <f>E31-F31</f>
        <v>36</v>
      </c>
      <c r="H31">
        <f>MAX(0,H30+G31)</f>
        <v>297</v>
      </c>
      <c r="I31">
        <f>ROUND(H31*Hipotesis!$C$35,0)</f>
        <v>91773</v>
      </c>
      <c r="J31">
        <f>I31*12</f>
        <v>1101276</v>
      </c>
      <c r="K31">
        <f>ROUND(H31*Hipotesis!$C$30,0)</f>
        <v>10395</v>
      </c>
      <c r="L31">
        <f>Hipotesis!$C$33</f>
        <v>22000</v>
      </c>
      <c r="M31">
        <f>I31-K31-L31</f>
        <v>59378</v>
      </c>
      <c r="N31">
        <f>N30+M31</f>
        <v>393274</v>
      </c>
    </row>
    <row r="32">
      <c r="A32">
        <v>28</v>
      </c>
      <c r="B32">
        <f>ROUND(B31*IF(28&lt;=Hipotesis!$C$7,Hipotesis!$C$6,Hipotesis!$C$8),0)</f>
        <v>33573</v>
      </c>
      <c r="C32">
        <f>ROUND(B32*Hipotesis!$C$11,0)</f>
        <v>5035</v>
      </c>
      <c r="D32">
        <f>ROUND(C32*Hipotesis!$C$12,0)</f>
        <v>151</v>
      </c>
      <c r="E32">
        <f>ROUND(D32*Hipotesis!$C$13,0)</f>
        <v>45</v>
      </c>
      <c r="F32">
        <f>ROUND(H31*Hipotesis!$C$18,0)</f>
        <v>4</v>
      </c>
      <c r="G32">
        <f>E32-F32</f>
        <v>41</v>
      </c>
      <c r="H32">
        <f>MAX(0,H31+G32)</f>
        <v>338</v>
      </c>
      <c r="I32">
        <f>ROUND(H32*Hipotesis!$C$35,0)</f>
        <v>104442</v>
      </c>
      <c r="J32">
        <f>I32*12</f>
        <v>1253304</v>
      </c>
      <c r="K32">
        <f>ROUND(H32*Hipotesis!$C$30,0)</f>
        <v>11830</v>
      </c>
      <c r="L32">
        <f>Hipotesis!$C$33</f>
        <v>22000</v>
      </c>
      <c r="M32">
        <f>I32-K32-L32</f>
        <v>70612</v>
      </c>
      <c r="N32">
        <f>N31+M32</f>
        <v>463886</v>
      </c>
    </row>
    <row r="33">
      <c r="A33">
        <v>29</v>
      </c>
      <c r="B33">
        <f>ROUND(B32*IF(29&lt;=Hipotesis!$C$7,Hipotesis!$C$6,Hipotesis!$C$8),0)</f>
        <v>37601</v>
      </c>
      <c r="C33">
        <f>ROUND(B33*Hipotesis!$C$11,0)</f>
        <v>5640</v>
      </c>
      <c r="D33">
        <f>ROUND(C33*Hipotesis!$C$12,0)</f>
        <v>169</v>
      </c>
      <c r="E33">
        <f>ROUND(D33*Hipotesis!$C$13,0)</f>
        <v>50</v>
      </c>
      <c r="F33">
        <f>ROUND(H32*Hipotesis!$C$18,0)</f>
        <v>5</v>
      </c>
      <c r="G33">
        <f>E33-F33</f>
        <v>45</v>
      </c>
      <c r="H33">
        <f>MAX(0,H32+G33)</f>
        <v>383</v>
      </c>
      <c r="I33">
        <f>ROUND(H33*Hipotesis!$C$35,0)</f>
        <v>118347</v>
      </c>
      <c r="J33">
        <f>I33*12</f>
        <v>1420164</v>
      </c>
      <c r="K33">
        <f>ROUND(H33*Hipotesis!$C$30,0)</f>
        <v>13405</v>
      </c>
      <c r="L33">
        <f>Hipotesis!$C$33</f>
        <v>22000</v>
      </c>
      <c r="M33">
        <f>I33-K33-L33</f>
        <v>82942</v>
      </c>
      <c r="N33">
        <f>N32+M33</f>
        <v>546828</v>
      </c>
    </row>
    <row r="34">
      <c r="A34">
        <v>30</v>
      </c>
      <c r="B34">
        <f>ROUND(B33*IF(30&lt;=Hipotesis!$C$7,Hipotesis!$C$6,Hipotesis!$C$8),0)</f>
        <v>42113</v>
      </c>
      <c r="C34">
        <f>ROUND(B34*Hipotesis!$C$11,0)</f>
        <v>6316</v>
      </c>
      <c r="D34">
        <f>ROUND(C34*Hipotesis!$C$12,0)</f>
        <v>189</v>
      </c>
      <c r="E34">
        <f>ROUND(D34*Hipotesis!$C$13,0)</f>
        <v>56</v>
      </c>
      <c r="F34">
        <f>ROUND(H33*Hipotesis!$C$18,0)</f>
        <v>6</v>
      </c>
      <c r="G34">
        <f>E34-F34</f>
        <v>50</v>
      </c>
      <c r="H34">
        <f>MAX(0,H33+G34)</f>
        <v>433</v>
      </c>
      <c r="I34">
        <f>ROUND(H34*Hipotesis!$C$35,0)</f>
        <v>133797</v>
      </c>
      <c r="J34">
        <f>I34*12</f>
        <v>1605564</v>
      </c>
      <c r="K34">
        <f>ROUND(H34*Hipotesis!$C$30,0)</f>
        <v>15155</v>
      </c>
      <c r="L34">
        <f>Hipotesis!$C$33</f>
        <v>22000</v>
      </c>
      <c r="M34">
        <f>I34-K34-L34</f>
        <v>96642</v>
      </c>
      <c r="N34">
        <f>N33+M34</f>
        <v>643470</v>
      </c>
    </row>
    <row r="35">
      <c r="A35">
        <v>31</v>
      </c>
      <c r="B35">
        <f>ROUND(B34*IF(31&lt;=Hipotesis!$C$7,Hipotesis!$C$6,Hipotesis!$C$8),0)</f>
        <v>47166</v>
      </c>
      <c r="C35">
        <f>ROUND(B35*Hipotesis!$C$11,0)</f>
        <v>7074</v>
      </c>
      <c r="D35">
        <f>ROUND(C35*Hipotesis!$C$12,0)</f>
        <v>212</v>
      </c>
      <c r="E35">
        <f>ROUND(D35*Hipotesis!$C$13,0)</f>
        <v>63</v>
      </c>
      <c r="F35">
        <f>ROUND(H34*Hipotesis!$C$18,0)</f>
        <v>6</v>
      </c>
      <c r="G35">
        <f>E35-F35</f>
        <v>57</v>
      </c>
      <c r="H35">
        <f>MAX(0,H34+G35)</f>
        <v>490</v>
      </c>
      <c r="I35">
        <f>ROUND(H35*Hipotesis!$C$35,0)</f>
        <v>151410</v>
      </c>
      <c r="J35">
        <f>I35*12</f>
        <v>1816920</v>
      </c>
      <c r="K35">
        <f>ROUND(H35*Hipotesis!$C$30,0)</f>
        <v>17150</v>
      </c>
      <c r="L35">
        <f>Hipotesis!$C$33</f>
        <v>22000</v>
      </c>
      <c r="M35">
        <f>I35-K35-L35</f>
        <v>112260</v>
      </c>
      <c r="N35">
        <f>N34+M35</f>
        <v>755730</v>
      </c>
    </row>
    <row r="36">
      <c r="A36">
        <v>32</v>
      </c>
      <c r="B36">
        <f>ROUND(B35*IF(32&lt;=Hipotesis!$C$7,Hipotesis!$C$6,Hipotesis!$C$8),0)</f>
        <v>52825</v>
      </c>
      <c r="C36">
        <f>ROUND(B36*Hipotesis!$C$11,0)</f>
        <v>7923</v>
      </c>
      <c r="D36">
        <f>ROUND(C36*Hipotesis!$C$12,0)</f>
        <v>237</v>
      </c>
      <c r="E36">
        <f>ROUND(D36*Hipotesis!$C$13,0)</f>
        <v>71</v>
      </c>
      <c r="F36">
        <f>ROUND(H35*Hipotesis!$C$18,0)</f>
        <v>7</v>
      </c>
      <c r="G36">
        <f>E36-F36</f>
        <v>64</v>
      </c>
      <c r="H36">
        <f>MAX(0,H35+G36)</f>
        <v>554</v>
      </c>
      <c r="I36">
        <f>ROUND(H36*Hipotesis!$C$35,0)</f>
        <v>171186</v>
      </c>
      <c r="J36">
        <f>I36*12</f>
        <v>2054232</v>
      </c>
      <c r="K36">
        <f>ROUND(H36*Hipotesis!$C$30,0)</f>
        <v>19390</v>
      </c>
      <c r="L36">
        <f>Hipotesis!$C$33</f>
        <v>22000</v>
      </c>
      <c r="M36">
        <f>I36-K36-L36</f>
        <v>129796</v>
      </c>
      <c r="N36">
        <f>N35+M36</f>
        <v>885526</v>
      </c>
    </row>
    <row r="37">
      <c r="A37">
        <v>33</v>
      </c>
      <c r="B37">
        <f>ROUND(B36*IF(33&lt;=Hipotesis!$C$7,Hipotesis!$C$6,Hipotesis!$C$8),0)</f>
        <v>59164</v>
      </c>
      <c r="C37">
        <f>ROUND(B37*Hipotesis!$C$11,0)</f>
        <v>8874</v>
      </c>
      <c r="D37">
        <f>ROUND(C37*Hipotesis!$C$12,0)</f>
        <v>266</v>
      </c>
      <c r="E37">
        <f>ROUND(D37*Hipotesis!$C$13,0)</f>
        <v>79</v>
      </c>
      <c r="F37">
        <f>ROUND(H36*Hipotesis!$C$18,0)</f>
        <v>8</v>
      </c>
      <c r="G37">
        <f>E37-F37</f>
        <v>71</v>
      </c>
      <c r="H37">
        <f>MAX(0,H36+G37)</f>
        <v>625</v>
      </c>
      <c r="I37">
        <f>ROUND(H37*Hipotesis!$C$35,0)</f>
        <v>193125</v>
      </c>
      <c r="J37">
        <f>I37*12</f>
        <v>2317500</v>
      </c>
      <c r="K37">
        <f>ROUND(H37*Hipotesis!$C$30,0)</f>
        <v>21875</v>
      </c>
      <c r="L37">
        <f>Hipotesis!$C$33</f>
        <v>22000</v>
      </c>
      <c r="M37">
        <f>I37-K37-L37</f>
        <v>149250</v>
      </c>
      <c r="N37">
        <f>N36+M37</f>
        <v>1034776</v>
      </c>
    </row>
    <row r="38">
      <c r="A38">
        <v>34</v>
      </c>
      <c r="B38">
        <f>ROUND(B37*IF(34&lt;=Hipotesis!$C$7,Hipotesis!$C$6,Hipotesis!$C$8),0)</f>
        <v>66263</v>
      </c>
      <c r="C38">
        <f>ROUND(B38*Hipotesis!$C$11,0)</f>
        <v>9939</v>
      </c>
      <c r="D38">
        <f>ROUND(C38*Hipotesis!$C$12,0)</f>
        <v>298</v>
      </c>
      <c r="E38">
        <f>ROUND(D38*Hipotesis!$C$13,0)</f>
        <v>89</v>
      </c>
      <c r="F38">
        <f>ROUND(H37*Hipotesis!$C$18,0)</f>
        <v>9</v>
      </c>
      <c r="G38">
        <f>E38-F38</f>
        <v>80</v>
      </c>
      <c r="H38">
        <f>MAX(0,H37+G38)</f>
        <v>705</v>
      </c>
      <c r="I38">
        <f>ROUND(H38*Hipotesis!$C$35,0)</f>
        <v>217845</v>
      </c>
      <c r="J38">
        <f>I38*12</f>
        <v>2614140</v>
      </c>
      <c r="K38">
        <f>ROUND(H38*Hipotesis!$C$30,0)</f>
        <v>24675</v>
      </c>
      <c r="L38">
        <f>Hipotesis!$C$33</f>
        <v>22000</v>
      </c>
      <c r="M38">
        <f>I38-K38-L38</f>
        <v>171170</v>
      </c>
      <c r="N38">
        <f>N37+M38</f>
        <v>1205946</v>
      </c>
    </row>
    <row r="39">
      <c r="A39">
        <v>35</v>
      </c>
      <c r="B39">
        <f>ROUND(B38*IF(35&lt;=Hipotesis!$C$7,Hipotesis!$C$6,Hipotesis!$C$8),0)</f>
        <v>74214</v>
      </c>
      <c r="C39">
        <f>ROUND(B39*Hipotesis!$C$11,0)</f>
        <v>11132</v>
      </c>
      <c r="D39">
        <f>ROUND(C39*Hipotesis!$C$12,0)</f>
        <v>333</v>
      </c>
      <c r="E39">
        <f>ROUND(D39*Hipotesis!$C$13,0)</f>
        <v>99</v>
      </c>
      <c r="F39">
        <f>ROUND(H38*Hipotesis!$C$18,0)</f>
        <v>11</v>
      </c>
      <c r="G39">
        <f>E39-F39</f>
        <v>88</v>
      </c>
      <c r="H39">
        <f>MAX(0,H38+G39)</f>
        <v>793</v>
      </c>
      <c r="I39">
        <f>ROUND(H39*Hipotesis!$C$35,0)</f>
        <v>245037</v>
      </c>
      <c r="J39">
        <f>I39*12</f>
        <v>2940444</v>
      </c>
      <c r="K39">
        <f>ROUND(H39*Hipotesis!$C$30,0)</f>
        <v>27755</v>
      </c>
      <c r="L39">
        <f>Hipotesis!$C$33</f>
        <v>22000</v>
      </c>
      <c r="M39">
        <f>I39-K39-L39</f>
        <v>195282</v>
      </c>
      <c r="N39">
        <f>N38+M39</f>
        <v>1401228</v>
      </c>
    </row>
    <row r="40">
      <c r="A40">
        <v>36</v>
      </c>
      <c r="B40">
        <f>ROUND(B39*IF(36&lt;=Hipotesis!$C$7,Hipotesis!$C$6,Hipotesis!$C$8),0)</f>
        <v>83119</v>
      </c>
      <c r="C40">
        <f>ROUND(B40*Hipotesis!$C$11,0)</f>
        <v>12467</v>
      </c>
      <c r="D40">
        <f>ROUND(C40*Hipotesis!$C$12,0)</f>
        <v>374</v>
      </c>
      <c r="E40">
        <f>ROUND(D40*Hipotesis!$C$13,0)</f>
        <v>112</v>
      </c>
      <c r="F40">
        <f>ROUND(H39*Hipotesis!$C$18,0)</f>
        <v>12</v>
      </c>
      <c r="G40">
        <f>E40-F40</f>
        <v>100</v>
      </c>
      <c r="H40">
        <f>MAX(0,H39+G40)</f>
        <v>893</v>
      </c>
      <c r="I40">
        <f>ROUND(H40*Hipotesis!$C$35,0)</f>
        <v>275937</v>
      </c>
      <c r="J40">
        <f>I40*12</f>
        <v>3311244</v>
      </c>
      <c r="K40">
        <f>ROUND(H40*Hipotesis!$C$30,0)</f>
        <v>31255</v>
      </c>
      <c r="L40">
        <f>Hipotesis!$C$33</f>
        <v>22000</v>
      </c>
      <c r="M40">
        <f>I40-K40-L40</f>
        <v>222682</v>
      </c>
      <c r="N40">
        <f>N39+M40</f>
        <v>1623910</v>
      </c>
    </row>
  </sheetData>
  <ignoredErrors>
    <ignoredError numberStoredAsText="1" sqref="A1:N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18.83203125" customWidth="1"/>
    <col min="7" max="7" width="16.83203125" customWidth="1"/>
    <col min="8" max="8" width="14.83203125" customWidth="1"/>
    <col min="9" max="9" width="14.83203125" customWidth="1"/>
  </cols>
  <sheetData>
    <row r="1">
      <c r="A1" t="str">
        <v>RESUMEN ANUAL</v>
      </c>
    </row>
    <row r="2">
      <c r="A2" t="str">
        <v>Calculado a partir de la Proyeccion Mensual</v>
      </c>
    </row>
    <row r="4">
      <c r="A4" t="str">
        <v>Anyo</v>
      </c>
      <c r="B4" t="str">
        <v>Clientes fin</v>
      </c>
      <c r="C4" t="str">
        <v>MRR fin (EUR)</v>
      </c>
      <c r="D4" t="str">
        <v>ARR fin (EUR)</v>
      </c>
      <c r="E4" t="str">
        <v>Ingresos (EUR)</v>
      </c>
      <c r="F4" t="str">
        <v>Coste var (EUR)</v>
      </c>
      <c r="G4" t="str">
        <v>OPEX fijo (EUR)</v>
      </c>
      <c r="H4" t="str">
        <v>EBITDA (EUR)</v>
      </c>
      <c r="I4" t="str">
        <v>Margen EBITDA</v>
      </c>
    </row>
    <row r="5">
      <c r="A5">
        <v>1</v>
      </c>
      <c r="B5">
        <f>Proyeccion!H16</f>
        <v>28</v>
      </c>
      <c r="C5">
        <f>Proyeccion!I16</f>
        <v>8652</v>
      </c>
      <c r="D5">
        <f>Proyeccion!J16</f>
        <v>103824</v>
      </c>
      <c r="E5">
        <f>SUM(Proyeccion!I5:I16)</f>
        <v>26883</v>
      </c>
      <c r="F5">
        <f>SUM(Proyeccion!K5:K16)</f>
        <v>3045</v>
      </c>
      <c r="G5">
        <f>SUM(Proyeccion!L5:L16)</f>
        <v>14400</v>
      </c>
      <c r="H5">
        <f>E5-F5-G5</f>
        <v>9438</v>
      </c>
      <c r="I5">
        <f>IF(E5=0,0,H5/E5)</f>
        <v>0.35</v>
      </c>
    </row>
    <row r="6">
      <c r="A6">
        <v>2</v>
      </c>
      <c r="B6">
        <f>Proyeccion!H28</f>
        <v>199</v>
      </c>
      <c r="C6">
        <f>Proyeccion!I28</f>
        <v>61491</v>
      </c>
      <c r="D6">
        <f>Proyeccion!J28</f>
        <v>737892</v>
      </c>
      <c r="E6">
        <f>SUM(Proyeccion!I17:I28)</f>
        <v>379452</v>
      </c>
      <c r="F6">
        <f>SUM(Proyeccion!K17:K28)</f>
        <v>42980</v>
      </c>
      <c r="G6">
        <f>SUM(Proyeccion!L17:L28)</f>
        <v>102000</v>
      </c>
      <c r="H6">
        <f>E6-F6-G6</f>
        <v>234472</v>
      </c>
      <c r="I6">
        <f>IF(E6=0,0,H6/E6)</f>
        <v>0.62</v>
      </c>
    </row>
    <row r="7">
      <c r="A7">
        <v>3</v>
      </c>
      <c r="B7">
        <f>Proyeccion!H40</f>
        <v>893</v>
      </c>
      <c r="C7">
        <f>Proyeccion!I40</f>
        <v>275937</v>
      </c>
      <c r="D7">
        <f>Proyeccion!J40</f>
        <v>3311244</v>
      </c>
      <c r="E7">
        <f>SUM(Proyeccion!I29:I40)</f>
        <v>1854000</v>
      </c>
      <c r="F7">
        <f>SUM(Proyeccion!K29:K40)</f>
        <v>210000</v>
      </c>
      <c r="G7">
        <f>SUM(Proyeccion!L29:L40)</f>
        <v>264000</v>
      </c>
      <c r="H7">
        <f>E7-F7-G7</f>
        <v>1380000</v>
      </c>
      <c r="I7">
        <f>IF(E7=0,0,H7/E7)</f>
        <v>0.74</v>
      </c>
    </row>
    <row r="10">
      <c r="A10" t="str">
        <v>BREAK-EVEN</v>
      </c>
    </row>
    <row r="11">
      <c r="A11" t="str">
        <v>Mes en que cash acumulado &gt;= 0</v>
      </c>
      <c r="C11">
        <f>MATCH(TRUE,Proyeccion!N5:N40&gt;=0,0)</f>
        <v>11</v>
      </c>
    </row>
    <row r="12">
      <c r="A12" t="str">
        <v>Capital inicial necesario (EUR)</v>
      </c>
      <c r="C12">
        <f>ABS(MIN(0,MIN(Proyeccion!N5:N40)))</f>
        <v>7304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6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18.83203125" customWidth="1"/>
  </cols>
  <sheetData>
    <row r="1">
      <c r="A1" t="str">
        <v>CASH FLOW MENSUAL</v>
      </c>
    </row>
    <row r="2">
      <c r="A2" t="str">
        <v>Ingresos cobrados, costes y posicion de tesoreria</v>
      </c>
    </row>
    <row r="4">
      <c r="A4" t="str">
        <v>Mes</v>
      </c>
      <c r="B4" t="str">
        <v>MRR (EUR)</v>
      </c>
      <c r="C4" t="str">
        <v>Coste variable (EUR)</v>
      </c>
      <c r="D4" t="str">
        <v>OPEX fijo (EUR)</v>
      </c>
      <c r="E4" t="str">
        <v>Cash flow del mes (EUR)</v>
      </c>
      <c r="F4" t="str">
        <v>Cash acumulado (EUR)</v>
      </c>
    </row>
    <row r="5">
      <c r="A5">
        <v>1</v>
      </c>
      <c r="B5">
        <f>Proyeccion!I5</f>
        <v>0</v>
      </c>
      <c r="C5">
        <f>Proyeccion!K5</f>
        <v>0</v>
      </c>
      <c r="D5">
        <f>Proyeccion!L5</f>
        <v>1200</v>
      </c>
      <c r="E5">
        <f>B5-C5-D5</f>
        <v>-1200</v>
      </c>
      <c r="F5">
        <f>Proyeccion!N5</f>
        <v>-1200</v>
      </c>
    </row>
    <row r="6">
      <c r="A6">
        <v>2</v>
      </c>
      <c r="B6">
        <f>Proyeccion!I6</f>
        <v>0</v>
      </c>
      <c r="C6">
        <f>Proyeccion!K6</f>
        <v>0</v>
      </c>
      <c r="D6">
        <f>Proyeccion!L6</f>
        <v>1200</v>
      </c>
      <c r="E6">
        <f>B6-C6-D6</f>
        <v>-1200</v>
      </c>
      <c r="F6">
        <f>Proyeccion!N6</f>
        <v>-2400</v>
      </c>
    </row>
    <row r="7">
      <c r="A7">
        <v>3</v>
      </c>
      <c r="B7">
        <f>Proyeccion!I7</f>
        <v>0</v>
      </c>
      <c r="C7">
        <f>Proyeccion!K7</f>
        <v>0</v>
      </c>
      <c r="D7">
        <f>Proyeccion!L7</f>
        <v>1200</v>
      </c>
      <c r="E7">
        <f>B7-C7-D7</f>
        <v>-1200</v>
      </c>
      <c r="F7">
        <f>Proyeccion!N7</f>
        <v>-3600</v>
      </c>
    </row>
    <row r="8">
      <c r="A8">
        <v>4</v>
      </c>
      <c r="B8">
        <f>Proyeccion!I8</f>
        <v>0</v>
      </c>
      <c r="C8">
        <f>Proyeccion!K8</f>
        <v>0</v>
      </c>
      <c r="D8">
        <f>Proyeccion!L8</f>
        <v>1200</v>
      </c>
      <c r="E8">
        <f>B8-C8-D8</f>
        <v>-1200</v>
      </c>
      <c r="F8">
        <f>Proyeccion!N8</f>
        <v>-4800</v>
      </c>
    </row>
    <row r="9">
      <c r="A9">
        <v>5</v>
      </c>
      <c r="B9">
        <f>Proyeccion!I9</f>
        <v>0</v>
      </c>
      <c r="C9">
        <f>Proyeccion!K9</f>
        <v>0</v>
      </c>
      <c r="D9">
        <f>Proyeccion!L9</f>
        <v>1200</v>
      </c>
      <c r="E9">
        <f>B9-C9-D9</f>
        <v>-1200</v>
      </c>
      <c r="F9">
        <f>Proyeccion!N9</f>
        <v>-6000</v>
      </c>
    </row>
    <row r="10">
      <c r="A10">
        <v>6</v>
      </c>
      <c r="B10">
        <f>Proyeccion!I10</f>
        <v>309</v>
      </c>
      <c r="C10">
        <f>Proyeccion!K10</f>
        <v>35</v>
      </c>
      <c r="D10">
        <f>Proyeccion!L10</f>
        <v>1200</v>
      </c>
      <c r="E10">
        <f>B10-C10-D10</f>
        <v>-926</v>
      </c>
      <c r="F10">
        <f>Proyeccion!N10</f>
        <v>-6926</v>
      </c>
    </row>
    <row r="11">
      <c r="A11">
        <v>7</v>
      </c>
      <c r="B11">
        <f>Proyeccion!I11</f>
        <v>927</v>
      </c>
      <c r="C11">
        <f>Proyeccion!K11</f>
        <v>105</v>
      </c>
      <c r="D11">
        <f>Proyeccion!L11</f>
        <v>1200</v>
      </c>
      <c r="E11">
        <f>B11-C11-D11</f>
        <v>-378</v>
      </c>
      <c r="F11">
        <f>Proyeccion!N11</f>
        <v>-7304</v>
      </c>
    </row>
    <row r="12">
      <c r="A12">
        <v>8</v>
      </c>
      <c r="B12">
        <f>Proyeccion!I12</f>
        <v>1854</v>
      </c>
      <c r="C12">
        <f>Proyeccion!K12</f>
        <v>210</v>
      </c>
      <c r="D12">
        <f>Proyeccion!L12</f>
        <v>1200</v>
      </c>
      <c r="E12">
        <f>B12-C12-D12</f>
        <v>444</v>
      </c>
      <c r="F12">
        <f>Proyeccion!N12</f>
        <v>-6860</v>
      </c>
    </row>
    <row r="13">
      <c r="A13">
        <v>9</v>
      </c>
      <c r="B13">
        <f>Proyeccion!I13</f>
        <v>3399</v>
      </c>
      <c r="C13">
        <f>Proyeccion!K13</f>
        <v>385</v>
      </c>
      <c r="D13">
        <f>Proyeccion!L13</f>
        <v>1200</v>
      </c>
      <c r="E13">
        <f>B13-C13-D13</f>
        <v>1814</v>
      </c>
      <c r="F13">
        <f>Proyeccion!N13</f>
        <v>-5046</v>
      </c>
    </row>
    <row r="14">
      <c r="A14">
        <v>10</v>
      </c>
      <c r="B14">
        <f>Proyeccion!I14</f>
        <v>4944</v>
      </c>
      <c r="C14">
        <f>Proyeccion!K14</f>
        <v>560</v>
      </c>
      <c r="D14">
        <f>Proyeccion!L14</f>
        <v>1200</v>
      </c>
      <c r="E14">
        <f>B14-C14-D14</f>
        <v>3184</v>
      </c>
      <c r="F14">
        <f>Proyeccion!N14</f>
        <v>-1862</v>
      </c>
    </row>
    <row r="15">
      <c r="A15">
        <v>11</v>
      </c>
      <c r="B15">
        <f>Proyeccion!I15</f>
        <v>6798</v>
      </c>
      <c r="C15">
        <f>Proyeccion!K15</f>
        <v>770</v>
      </c>
      <c r="D15">
        <f>Proyeccion!L15</f>
        <v>1200</v>
      </c>
      <c r="E15">
        <f>B15-C15-D15</f>
        <v>4828</v>
      </c>
      <c r="F15">
        <f>Proyeccion!N15</f>
        <v>2966</v>
      </c>
    </row>
    <row r="16">
      <c r="A16">
        <v>12</v>
      </c>
      <c r="B16">
        <f>Proyeccion!I16</f>
        <v>8652</v>
      </c>
      <c r="C16">
        <f>Proyeccion!K16</f>
        <v>980</v>
      </c>
      <c r="D16">
        <f>Proyeccion!L16</f>
        <v>1200</v>
      </c>
      <c r="E16">
        <f>B16-C16-D16</f>
        <v>6472</v>
      </c>
      <c r="F16">
        <f>Proyeccion!N16</f>
        <v>9438</v>
      </c>
    </row>
    <row r="17">
      <c r="A17">
        <v>13</v>
      </c>
      <c r="B17">
        <f>Proyeccion!I17</f>
        <v>10815</v>
      </c>
      <c r="C17">
        <f>Proyeccion!K17</f>
        <v>1225</v>
      </c>
      <c r="D17">
        <f>Proyeccion!L17</f>
        <v>8500</v>
      </c>
      <c r="E17">
        <f>B17-C17-D17</f>
        <v>1090</v>
      </c>
      <c r="F17">
        <f>Proyeccion!N17</f>
        <v>10528</v>
      </c>
    </row>
    <row r="18">
      <c r="A18">
        <v>14</v>
      </c>
      <c r="B18">
        <f>Proyeccion!I18</f>
        <v>13287</v>
      </c>
      <c r="C18">
        <f>Proyeccion!K18</f>
        <v>1505</v>
      </c>
      <c r="D18">
        <f>Proyeccion!L18</f>
        <v>8500</v>
      </c>
      <c r="E18">
        <f>B18-C18-D18</f>
        <v>3282</v>
      </c>
      <c r="F18">
        <f>Proyeccion!N18</f>
        <v>13810</v>
      </c>
    </row>
    <row r="19">
      <c r="A19">
        <v>15</v>
      </c>
      <c r="B19">
        <f>Proyeccion!I19</f>
        <v>16068</v>
      </c>
      <c r="C19">
        <f>Proyeccion!K19</f>
        <v>1820</v>
      </c>
      <c r="D19">
        <f>Proyeccion!L19</f>
        <v>8500</v>
      </c>
      <c r="E19">
        <f>B19-C19-D19</f>
        <v>5748</v>
      </c>
      <c r="F19">
        <f>Proyeccion!N19</f>
        <v>19558</v>
      </c>
    </row>
    <row r="20">
      <c r="A20">
        <v>16</v>
      </c>
      <c r="B20">
        <f>Proyeccion!I20</f>
        <v>19158</v>
      </c>
      <c r="C20">
        <f>Proyeccion!K20</f>
        <v>2170</v>
      </c>
      <c r="D20">
        <f>Proyeccion!L20</f>
        <v>8500</v>
      </c>
      <c r="E20">
        <f>B20-C20-D20</f>
        <v>8488</v>
      </c>
      <c r="F20">
        <f>Proyeccion!N20</f>
        <v>28046</v>
      </c>
    </row>
    <row r="21">
      <c r="A21">
        <v>17</v>
      </c>
      <c r="B21">
        <f>Proyeccion!I21</f>
        <v>22557</v>
      </c>
      <c r="C21">
        <f>Proyeccion!K21</f>
        <v>2555</v>
      </c>
      <c r="D21">
        <f>Proyeccion!L21</f>
        <v>8500</v>
      </c>
      <c r="E21">
        <f>B21-C21-D21</f>
        <v>11502</v>
      </c>
      <c r="F21">
        <f>Proyeccion!N21</f>
        <v>39548</v>
      </c>
    </row>
    <row r="22">
      <c r="A22">
        <v>18</v>
      </c>
      <c r="B22">
        <f>Proyeccion!I22</f>
        <v>26574</v>
      </c>
      <c r="C22">
        <f>Proyeccion!K22</f>
        <v>3010</v>
      </c>
      <c r="D22">
        <f>Proyeccion!L22</f>
        <v>8500</v>
      </c>
      <c r="E22">
        <f>B22-C22-D22</f>
        <v>15064</v>
      </c>
      <c r="F22">
        <f>Proyeccion!N22</f>
        <v>54612</v>
      </c>
    </row>
    <row r="23">
      <c r="A23">
        <v>19</v>
      </c>
      <c r="B23">
        <f>Proyeccion!I23</f>
        <v>30900</v>
      </c>
      <c r="C23">
        <f>Proyeccion!K23</f>
        <v>3500</v>
      </c>
      <c r="D23">
        <f>Proyeccion!L23</f>
        <v>8500</v>
      </c>
      <c r="E23">
        <f>B23-C23-D23</f>
        <v>18900</v>
      </c>
      <c r="F23">
        <f>Proyeccion!N23</f>
        <v>73512</v>
      </c>
    </row>
    <row r="24">
      <c r="A24">
        <v>20</v>
      </c>
      <c r="B24">
        <f>Proyeccion!I24</f>
        <v>35844</v>
      </c>
      <c r="C24">
        <f>Proyeccion!K24</f>
        <v>4060</v>
      </c>
      <c r="D24">
        <f>Proyeccion!L24</f>
        <v>8500</v>
      </c>
      <c r="E24">
        <f>B24-C24-D24</f>
        <v>23284</v>
      </c>
      <c r="F24">
        <f>Proyeccion!N24</f>
        <v>96796</v>
      </c>
    </row>
    <row r="25">
      <c r="A25">
        <v>21</v>
      </c>
      <c r="B25">
        <f>Proyeccion!I25</f>
        <v>41406</v>
      </c>
      <c r="C25">
        <f>Proyeccion!K25</f>
        <v>4690</v>
      </c>
      <c r="D25">
        <f>Proyeccion!L25</f>
        <v>8500</v>
      </c>
      <c r="E25">
        <f>B25-C25-D25</f>
        <v>28216</v>
      </c>
      <c r="F25">
        <f>Proyeccion!N25</f>
        <v>125012</v>
      </c>
    </row>
    <row r="26">
      <c r="A26">
        <v>22</v>
      </c>
      <c r="B26">
        <f>Proyeccion!I26</f>
        <v>47277</v>
      </c>
      <c r="C26">
        <f>Proyeccion!K26</f>
        <v>5355</v>
      </c>
      <c r="D26">
        <f>Proyeccion!L26</f>
        <v>8500</v>
      </c>
      <c r="E26">
        <f>B26-C26-D26</f>
        <v>33422</v>
      </c>
      <c r="F26">
        <f>Proyeccion!N26</f>
        <v>158434</v>
      </c>
    </row>
    <row r="27">
      <c r="A27">
        <v>23</v>
      </c>
      <c r="B27">
        <f>Proyeccion!I27</f>
        <v>54075</v>
      </c>
      <c r="C27">
        <f>Proyeccion!K27</f>
        <v>6125</v>
      </c>
      <c r="D27">
        <f>Proyeccion!L27</f>
        <v>8500</v>
      </c>
      <c r="E27">
        <f>B27-C27-D27</f>
        <v>39450</v>
      </c>
      <c r="F27">
        <f>Proyeccion!N27</f>
        <v>197884</v>
      </c>
    </row>
    <row r="28">
      <c r="A28">
        <v>24</v>
      </c>
      <c r="B28">
        <f>Proyeccion!I28</f>
        <v>61491</v>
      </c>
      <c r="C28">
        <f>Proyeccion!K28</f>
        <v>6965</v>
      </c>
      <c r="D28">
        <f>Proyeccion!L28</f>
        <v>8500</v>
      </c>
      <c r="E28">
        <f>B28-C28-D28</f>
        <v>46026</v>
      </c>
      <c r="F28">
        <f>Proyeccion!N28</f>
        <v>243910</v>
      </c>
    </row>
    <row r="29">
      <c r="A29">
        <v>25</v>
      </c>
      <c r="B29">
        <f>Proyeccion!I29</f>
        <v>70452</v>
      </c>
      <c r="C29">
        <f>Proyeccion!K29</f>
        <v>7980</v>
      </c>
      <c r="D29">
        <f>Proyeccion!L29</f>
        <v>22000</v>
      </c>
      <c r="E29">
        <f>B29-C29-D29</f>
        <v>40472</v>
      </c>
      <c r="F29">
        <f>Proyeccion!N29</f>
        <v>284382</v>
      </c>
    </row>
    <row r="30">
      <c r="A30">
        <v>26</v>
      </c>
      <c r="B30">
        <f>Proyeccion!I30</f>
        <v>80649</v>
      </c>
      <c r="C30">
        <f>Proyeccion!K30</f>
        <v>9135</v>
      </c>
      <c r="D30">
        <f>Proyeccion!L30</f>
        <v>22000</v>
      </c>
      <c r="E30">
        <f>B30-C30-D30</f>
        <v>49514</v>
      </c>
      <c r="F30">
        <f>Proyeccion!N30</f>
        <v>333896</v>
      </c>
    </row>
    <row r="31">
      <c r="A31">
        <v>27</v>
      </c>
      <c r="B31">
        <f>Proyeccion!I31</f>
        <v>91773</v>
      </c>
      <c r="C31">
        <f>Proyeccion!K31</f>
        <v>10395</v>
      </c>
      <c r="D31">
        <f>Proyeccion!L31</f>
        <v>22000</v>
      </c>
      <c r="E31">
        <f>B31-C31-D31</f>
        <v>59378</v>
      </c>
      <c r="F31">
        <f>Proyeccion!N31</f>
        <v>393274</v>
      </c>
    </row>
    <row r="32">
      <c r="A32">
        <v>28</v>
      </c>
      <c r="B32">
        <f>Proyeccion!I32</f>
        <v>104442</v>
      </c>
      <c r="C32">
        <f>Proyeccion!K32</f>
        <v>11830</v>
      </c>
      <c r="D32">
        <f>Proyeccion!L32</f>
        <v>22000</v>
      </c>
      <c r="E32">
        <f>B32-C32-D32</f>
        <v>70612</v>
      </c>
      <c r="F32">
        <f>Proyeccion!N32</f>
        <v>463886</v>
      </c>
    </row>
    <row r="33">
      <c r="A33">
        <v>29</v>
      </c>
      <c r="B33">
        <f>Proyeccion!I33</f>
        <v>118347</v>
      </c>
      <c r="C33">
        <f>Proyeccion!K33</f>
        <v>13405</v>
      </c>
      <c r="D33">
        <f>Proyeccion!L33</f>
        <v>22000</v>
      </c>
      <c r="E33">
        <f>B33-C33-D33</f>
        <v>82942</v>
      </c>
      <c r="F33">
        <f>Proyeccion!N33</f>
        <v>546828</v>
      </c>
    </row>
    <row r="34">
      <c r="A34">
        <v>30</v>
      </c>
      <c r="B34">
        <f>Proyeccion!I34</f>
        <v>133797</v>
      </c>
      <c r="C34">
        <f>Proyeccion!K34</f>
        <v>15155</v>
      </c>
      <c r="D34">
        <f>Proyeccion!L34</f>
        <v>22000</v>
      </c>
      <c r="E34">
        <f>B34-C34-D34</f>
        <v>96642</v>
      </c>
      <c r="F34">
        <f>Proyeccion!N34</f>
        <v>643470</v>
      </c>
    </row>
    <row r="35">
      <c r="A35">
        <v>31</v>
      </c>
      <c r="B35">
        <f>Proyeccion!I35</f>
        <v>151410</v>
      </c>
      <c r="C35">
        <f>Proyeccion!K35</f>
        <v>17150</v>
      </c>
      <c r="D35">
        <f>Proyeccion!L35</f>
        <v>22000</v>
      </c>
      <c r="E35">
        <f>B35-C35-D35</f>
        <v>112260</v>
      </c>
      <c r="F35">
        <f>Proyeccion!N35</f>
        <v>755730</v>
      </c>
    </row>
    <row r="36">
      <c r="A36">
        <v>32</v>
      </c>
      <c r="B36">
        <f>Proyeccion!I36</f>
        <v>171186</v>
      </c>
      <c r="C36">
        <f>Proyeccion!K36</f>
        <v>19390</v>
      </c>
      <c r="D36">
        <f>Proyeccion!L36</f>
        <v>22000</v>
      </c>
      <c r="E36">
        <f>B36-C36-D36</f>
        <v>129796</v>
      </c>
      <c r="F36">
        <f>Proyeccion!N36</f>
        <v>885526</v>
      </c>
    </row>
    <row r="37">
      <c r="A37">
        <v>33</v>
      </c>
      <c r="B37">
        <f>Proyeccion!I37</f>
        <v>193125</v>
      </c>
      <c r="C37">
        <f>Proyeccion!K37</f>
        <v>21875</v>
      </c>
      <c r="D37">
        <f>Proyeccion!L37</f>
        <v>22000</v>
      </c>
      <c r="E37">
        <f>B37-C37-D37</f>
        <v>149250</v>
      </c>
      <c r="F37">
        <f>Proyeccion!N37</f>
        <v>1034776</v>
      </c>
    </row>
    <row r="38">
      <c r="A38">
        <v>34</v>
      </c>
      <c r="B38">
        <f>Proyeccion!I38</f>
        <v>217845</v>
      </c>
      <c r="C38">
        <f>Proyeccion!K38</f>
        <v>24675</v>
      </c>
      <c r="D38">
        <f>Proyeccion!L38</f>
        <v>22000</v>
      </c>
      <c r="E38">
        <f>B38-C38-D38</f>
        <v>171170</v>
      </c>
      <c r="F38">
        <f>Proyeccion!N38</f>
        <v>1205946</v>
      </c>
    </row>
    <row r="39">
      <c r="A39">
        <v>35</v>
      </c>
      <c r="B39">
        <f>Proyeccion!I39</f>
        <v>245037</v>
      </c>
      <c r="C39">
        <f>Proyeccion!K39</f>
        <v>27755</v>
      </c>
      <c r="D39">
        <f>Proyeccion!L39</f>
        <v>22000</v>
      </c>
      <c r="E39">
        <f>B39-C39-D39</f>
        <v>195282</v>
      </c>
      <c r="F39">
        <f>Proyeccion!N39</f>
        <v>1401228</v>
      </c>
    </row>
    <row r="40">
      <c r="A40">
        <v>36</v>
      </c>
      <c r="B40">
        <f>Proyeccion!I40</f>
        <v>275937</v>
      </c>
      <c r="C40">
        <f>Proyeccion!K40</f>
        <v>31255</v>
      </c>
      <c r="D40">
        <f>Proyeccion!L40</f>
        <v>22000</v>
      </c>
      <c r="E40">
        <f>B40-C40-D40</f>
        <v>222682</v>
      </c>
      <c r="F40">
        <f>Proyeccion!N40</f>
        <v>1623910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42.83203125" customWidth="1"/>
    <col min="2" max="2" width="16.83203125" customWidth="1"/>
    <col min="3" max="3" width="16.83203125" customWidth="1"/>
    <col min="4" max="4" width="16.83203125" customWidth="1"/>
  </cols>
  <sheetData>
    <row r="1">
      <c r="A1" t="str">
        <v>ESCENARIOS COMPARADOS (resultados M36)</v>
      </c>
    </row>
    <row r="2">
      <c r="A2" t="str">
        <v>Para usar: copia este Excel, edita Hipotesis con los valores de cada escenario y compara.</v>
      </c>
    </row>
    <row r="4">
      <c r="A4" t="str">
        <v>Variable</v>
      </c>
      <c r="B4" t="str">
        <v>Conservador</v>
      </c>
      <c r="C4" t="str">
        <v>Base</v>
      </c>
      <c r="D4" t="str">
        <v>Optimista</v>
      </c>
    </row>
    <row r="5">
      <c r="A5" t="str">
        <v>Visitas SEO mes 1</v>
      </c>
      <c r="B5">
        <v>100</v>
      </c>
      <c r="C5">
        <v>200</v>
      </c>
      <c r="D5">
        <v>400</v>
      </c>
    </row>
    <row r="6">
      <c r="A6" t="str">
        <v>Crecimiento m-a-m inicial (x)</v>
      </c>
      <c r="B6">
        <v>1.3</v>
      </c>
      <c r="C6">
        <v>1.45</v>
      </c>
      <c r="D6">
        <v>1.6</v>
      </c>
    </row>
    <row r="7">
      <c r="A7" t="str">
        <v>Crecimiento m-a-m maduro (x)</v>
      </c>
      <c r="B7">
        <v>1.08</v>
      </c>
      <c r="C7">
        <v>1.12</v>
      </c>
      <c r="D7">
        <v>1.18</v>
      </c>
    </row>
    <row r="8">
      <c r="A8" t="str">
        <v>% free tools sobre visitas</v>
      </c>
      <c r="B8">
        <v>0.1</v>
      </c>
      <c r="C8">
        <v>0.15</v>
      </c>
      <c r="D8">
        <v>0.22</v>
      </c>
    </row>
    <row r="9">
      <c r="A9" t="str">
        <v>% trials sobre free tools</v>
      </c>
      <c r="B9">
        <v>0.025</v>
      </c>
      <c r="C9">
        <v>0.03</v>
      </c>
      <c r="D9">
        <v>0.04</v>
      </c>
    </row>
    <row r="10">
      <c r="A10" t="str">
        <v>% paid sobre trials</v>
      </c>
      <c r="B10">
        <v>0.25</v>
      </c>
      <c r="C10">
        <v>0.3</v>
      </c>
      <c r="D10">
        <v>0.4</v>
      </c>
    </row>
    <row r="11">
      <c r="A11" t="str">
        <v>Churn Y1</v>
      </c>
      <c r="B11">
        <v>0.035</v>
      </c>
      <c r="C11">
        <v>0.025</v>
      </c>
      <c r="D11">
        <v>0.018</v>
      </c>
    </row>
    <row r="12">
      <c r="A12" t="str">
        <v>Churn Y2</v>
      </c>
      <c r="B12">
        <v>0.025</v>
      </c>
      <c r="C12">
        <v>0.02</v>
      </c>
      <c r="D12">
        <v>0.015</v>
      </c>
    </row>
    <row r="13">
      <c r="A13" t="str">
        <v>Churn Y3</v>
      </c>
      <c r="B13">
        <v>0.02</v>
      </c>
      <c r="C13">
        <v>0.015</v>
      </c>
      <c r="D13">
        <v>0.012</v>
      </c>
    </row>
    <row r="15">
      <c r="A15" t="str">
        <v>Resultados aproximados M36 (de tu plan financiero):</v>
      </c>
    </row>
    <row r="16">
      <c r="A16" t="str">
        <v>Clientes finales</v>
      </c>
      <c r="B16">
        <v>400</v>
      </c>
      <c r="C16">
        <v>870</v>
      </c>
      <c r="D16">
        <v>1500</v>
      </c>
    </row>
    <row r="17">
      <c r="A17" t="str">
        <v>MRR fin (EUR/mes)</v>
      </c>
      <c r="B17">
        <v>140000</v>
      </c>
      <c r="C17">
        <v>305000</v>
      </c>
      <c r="D17">
        <v>525000</v>
      </c>
    </row>
    <row r="18">
      <c r="A18" t="str">
        <v>ARR fin (EUR/anyo)</v>
      </c>
      <c r="B18">
        <v>1700000</v>
      </c>
      <c r="C18">
        <v>3660000</v>
      </c>
      <c r="D18">
        <v>6300000</v>
      </c>
    </row>
  </sheetData>
  <ignoredErrors>
    <ignoredError numberStoredAsText="1" sqref="A1:D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cols>
    <col min="1" max="1" width="80.83203125" customWidth="1"/>
  </cols>
  <sheetData>
    <row r="1">
      <c r="A1" t="str">
        <v>BARITUR PRO - Notas metodologicas</v>
      </c>
    </row>
    <row r="2">
      <c r="A2" t="str">
        <v/>
      </c>
    </row>
    <row r="3">
      <c r="A3" t="str">
        <v>EMBUDO DE ADQUISICION</v>
      </c>
    </row>
    <row r="4">
      <c r="A4" t="str">
        <v>Visitas SEO -&gt; Free tool sessions -&gt; Trials -&gt; Paying customers</v>
      </c>
    </row>
    <row r="5">
      <c r="A5" t="str">
        <v>Cada conversion tiene su tasa parametrizable en Hipotesis.</v>
      </c>
    </row>
    <row r="6">
      <c r="A6" t="str">
        <v/>
      </c>
    </row>
    <row r="7">
      <c r="A7" t="str">
        <v>CRECIMIENTO ORGANICO</v>
      </c>
    </row>
    <row r="8">
      <c r="A8" t="str">
        <v>El SEO crece compounding al principio (paginas indexan, backlinks suman)</v>
      </c>
    </row>
    <row r="9">
      <c r="A9" t="str">
        <v>y se modera cuando se agota el long-tail. Cap configurable en Hipotesis!C7.</v>
      </c>
    </row>
    <row r="10">
      <c r="A10" t="str">
        <v/>
      </c>
    </row>
    <row r="11">
      <c r="A11" t="str">
        <v>CHURN</v>
      </c>
    </row>
    <row r="12">
      <c r="A12" t="str">
        <v>Decreciente con la madurez (Y1 mas alto, Y3 mas bajo).</v>
      </c>
    </row>
    <row r="13">
      <c r="A13" t="str">
        <v>Aplicado al saldo de clientes a fin del mes anterior.</v>
      </c>
    </row>
    <row r="14">
      <c r="A14" t="str">
        <v/>
      </c>
    </row>
    <row r="15">
      <c r="A15" t="str">
        <v>ARPU</v>
      </c>
    </row>
    <row r="16">
      <c r="A16" t="str">
        <v>Precio medio ponderado por mix de planes.</v>
      </c>
    </row>
    <row r="17">
      <c r="A17" t="str">
        <v>Editar el mix en Hipotesis para reflejar tu estrategia comercial.</v>
      </c>
    </row>
    <row r="18">
      <c r="A18" t="str">
        <v>Si cambias el mix, asegurate de que la suma sea 1.0 (o ajusta a porcentajes).</v>
      </c>
    </row>
    <row r="19">
      <c r="A19" t="str">
        <v/>
      </c>
    </row>
    <row r="20">
      <c r="A20" t="str">
        <v>COSTE VARIABLE</v>
      </c>
    </row>
    <row r="21">
      <c r="A21" t="str">
        <v>Por cliente al mes incluye: Vercel/DB/S3, Anthropic API,</v>
      </c>
    </row>
    <row r="22">
      <c r="A22" t="str">
        <v>email transaccional, Stripe fees (~2.5% de la cuota).</v>
      </c>
    </row>
    <row r="23">
      <c r="A23" t="str">
        <v/>
      </c>
    </row>
    <row r="24">
      <c r="A24" t="str">
        <v>OPEX FIJO</v>
      </c>
    </row>
    <row r="25">
      <c r="A25" t="str">
        <v>Y1: founder solo (sin contrataciones). 1.200/mes cubre</v>
      </c>
    </row>
    <row r="26">
      <c r="A26" t="str">
        <v>herramientas, asesoria, legal, dominios.</v>
      </c>
    </row>
    <row r="27">
      <c r="A27" t="str">
        <v>Y2: +1 perfil soporte (~30k anuales) -&gt; 8.500/mes</v>
      </c>
    </row>
    <row r="28">
      <c r="A28" t="str">
        <v>Y3: +1 perfil sales + marketing pagado -&gt; 22.000/mes</v>
      </c>
    </row>
    <row r="29">
      <c r="A29" t="str">
        <v/>
      </c>
    </row>
    <row r="30">
      <c r="A30" t="str">
        <v>LIMITACIONES DEL MODELO</v>
      </c>
    </row>
    <row r="31">
      <c r="A31" t="str">
        <v>1. No considera estacionalidad (mortalidad varia por mes)</v>
      </c>
    </row>
    <row r="32">
      <c r="A32" t="str">
        <v>2. Asume conversion lineal; en realidad hay efecto cohorte</v>
      </c>
    </row>
    <row r="33">
      <c r="A33" t="str">
        <v>3. No incluye recargos por overage (expedientes extra)</v>
      </c>
    </row>
    <row r="34">
      <c r="A34" t="str">
        <v>4. No considera precio anual con descuento (suele dar +15% LTV)</v>
      </c>
    </row>
    <row r="35">
      <c r="A35" t="str">
        <v>5. Supone bootstrap: si levantas capital, ajusta OPEX</v>
      </c>
    </row>
    <row r="36">
      <c r="A36" t="str">
        <v/>
      </c>
    </row>
    <row r="37">
      <c r="A37" t="str">
        <v>COMO USAR</v>
      </c>
    </row>
    <row r="38">
      <c r="A38" t="str">
        <v>1. Edita las Hipotesis en la primera hoja con tus propios numeros</v>
      </c>
    </row>
    <row r="39">
      <c r="A39" t="str">
        <v>2. Las hojas Proyeccion, Resumen anual y Cash flow recalcularan automaticamente</v>
      </c>
    </row>
    <row r="40">
      <c r="A40" t="str">
        <v>3. Si Excel no recalcula, presiona F9 (PC) o Cmd+= (Mac)</v>
      </c>
    </row>
    <row r="41">
      <c r="A41" t="str">
        <v>4. Para escenarios distintos, guarda copias del Excel con cada hipotesis</v>
      </c>
    </row>
  </sheetData>
  <ignoredErrors>
    <ignoredError numberStoredAsText="1" sqref="A1:A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Hipotesis</vt:lpstr>
      <vt:lpstr>Proyeccion</vt:lpstr>
      <vt:lpstr>Resumen anual</vt:lpstr>
      <vt:lpstr>Cash flow</vt:lpstr>
      <vt:lpstr>Escenarios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2026-05-10T16:02:04Z</dcterms:created>
  <dc:creator>BARITUR PRO</dc:creator>
  <dc:title>BARITUR PRO - Modelo financiero</dc:title>
</cp:coreProperties>
</file>