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potesis" sheetId="1" r:id="rId1"/>
    <sheet name="Proyeccion" sheetId="2" r:id="rId2"/>
    <sheet name="Resumen anual" sheetId="3" r:id="rId3"/>
    <sheet name="Cash flow" sheetId="4" r:id="rId4"/>
    <sheet name="Escenarios" sheetId="5" r:id="rId5"/>
    <sheet name="Nota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cols>
    <col min="1" max="1" width="36.83203125" customWidth="1"/>
    <col min="2" max="2" width="4.83203125" customWidth="1"/>
    <col min="3" max="3" width="14.83203125" customWidth="1"/>
    <col min="4" max="4" width="18.83203125" customWidth="1"/>
    <col min="5" max="5" width="14.83203125" customWidth="1"/>
    <col min="6" max="6" width="60.83203125" customWidth="1"/>
  </cols>
  <sheetData>
    <row r="1">
      <c r="A1" t="str">
        <v>Heredia - Modelo financiero</v>
      </c>
    </row>
    <row r="2">
      <c r="A2" t="str">
        <v>Hipotesis editables. Todas las hojas recalculan automaticamente al cambiar estos valores.</v>
      </c>
    </row>
    <row r="4">
      <c r="A4" t="str">
        <v>ADQUISICION (TRAFICO SEO)</v>
      </c>
      <c r="C4" t="str">
        <v>valor</v>
      </c>
      <c r="D4" t="str">
        <v>unidad</v>
      </c>
      <c r="E4" t="str">
        <v>notas</v>
      </c>
    </row>
    <row r="5">
      <c r="A5" t="str">
        <v>Visitas SEO mes 1</v>
      </c>
      <c r="C5">
        <v>200</v>
      </c>
      <c r="D5" t="str">
        <v>visitas/mes</v>
      </c>
      <c r="E5" t="str">
        <v>Estimacion conservadora desde lanzamiento</v>
      </c>
    </row>
    <row r="6">
      <c r="A6" t="str">
        <v>Crecimiento mensual fase inicial</v>
      </c>
      <c r="C6">
        <v>1.45</v>
      </c>
      <c r="D6" t="str">
        <v>x</v>
      </c>
      <c r="E6" t="str">
        <v>45% mes a mes (SEO compounding)</v>
      </c>
    </row>
    <row r="7">
      <c r="A7" t="str">
        <v>Mes en que el crecimiento se modera</v>
      </c>
      <c r="C7">
        <v>9</v>
      </c>
      <c r="D7" t="str">
        <v>mes</v>
      </c>
    </row>
    <row r="8">
      <c r="A8" t="str">
        <v>Crecimiento mensual fase madura</v>
      </c>
      <c r="C8">
        <v>1.12</v>
      </c>
      <c r="D8" t="str">
        <v>x</v>
      </c>
      <c r="E8" t="str">
        <v>12% mes a mes despues del cap</v>
      </c>
    </row>
    <row r="10">
      <c r="A10" t="str">
        <v>CONVERSION</v>
      </c>
      <c r="C10" t="str">
        <v>valor</v>
      </c>
      <c r="D10" t="str">
        <v>unidad</v>
      </c>
    </row>
    <row r="11">
      <c r="A11" t="str">
        <v>% visitas que usan free tools</v>
      </c>
      <c r="C11">
        <v>0.15</v>
      </c>
      <c r="D11" t="str">
        <v>%</v>
      </c>
      <c r="E11" t="str">
        <v>Calculadora, comparador, borrador 650/651</v>
      </c>
    </row>
    <row r="12">
      <c r="A12" t="str">
        <v>% free tool users que inician trial</v>
      </c>
      <c r="C12">
        <v>0.03</v>
      </c>
      <c r="D12" t="str">
        <v>%</v>
      </c>
    </row>
    <row r="13">
      <c r="A13" t="str">
        <v>% trials que convierten a pago</v>
      </c>
      <c r="C13">
        <v>0.3</v>
      </c>
      <c r="D13" t="str">
        <v>%</v>
      </c>
      <c r="E13" t="str">
        <v>Benchmark B2B SaaS especializado</v>
      </c>
    </row>
    <row r="15">
      <c r="A15" t="str">
        <v>CHURN</v>
      </c>
      <c r="C15" t="str">
        <v>valor</v>
      </c>
    </row>
    <row r="16">
      <c r="A16" t="str">
        <v>Churn mensual Y1</v>
      </c>
      <c r="C16">
        <v>0.025</v>
      </c>
      <c r="D16" t="str">
        <v>%/mes</v>
      </c>
    </row>
    <row r="17">
      <c r="A17" t="str">
        <v>Churn mensual Y2</v>
      </c>
      <c r="C17">
        <v>0.02</v>
      </c>
      <c r="D17" t="str">
        <v>%/mes</v>
      </c>
    </row>
    <row r="18">
      <c r="A18" t="str">
        <v>Churn mensual Y3</v>
      </c>
      <c r="C18">
        <v>0.015</v>
      </c>
      <c r="D18" t="str">
        <v>%/mes</v>
      </c>
    </row>
    <row r="20">
      <c r="A20" t="str">
        <v>PRICING Y MIX</v>
      </c>
      <c r="C20" t="str">
        <v>valor</v>
      </c>
      <c r="E20" t="str">
        <v>setup fee</v>
      </c>
    </row>
    <row r="21">
      <c r="A21" t="str">
        <v>Precio INICIA</v>
      </c>
      <c r="C21">
        <v>149</v>
      </c>
      <c r="D21" t="str">
        <v>EUR/mes</v>
      </c>
      <c r="E21">
        <v>0</v>
      </c>
      <c r="F21" t="str">
        <v>EUR setup unico</v>
      </c>
    </row>
    <row r="22">
      <c r="A22" t="str">
        <v>Precio DESPACHO</v>
      </c>
      <c r="C22">
        <v>349</v>
      </c>
      <c r="D22" t="str">
        <v>EUR/mes</v>
      </c>
      <c r="E22">
        <v>299</v>
      </c>
      <c r="F22" t="str">
        <v>EUR setup unico</v>
      </c>
    </row>
    <row r="23">
      <c r="A23" t="str">
        <v>Precio FIRMA</v>
      </c>
      <c r="C23">
        <v>749</v>
      </c>
      <c r="D23" t="str">
        <v>EUR/mes</v>
      </c>
      <c r="E23">
        <v>990</v>
      </c>
      <c r="F23" t="str">
        <v>EUR setup unico</v>
      </c>
    </row>
    <row r="25">
      <c r="A25" t="str">
        <v>% mix INICIA</v>
      </c>
      <c r="C25">
        <v>40</v>
      </c>
      <c r="D25" t="str">
        <v>%</v>
      </c>
    </row>
    <row r="26">
      <c r="A26" t="str">
        <v>% mix DESPACHO</v>
      </c>
      <c r="C26">
        <v>50</v>
      </c>
      <c r="D26" t="str">
        <v>%</v>
      </c>
    </row>
    <row r="27">
      <c r="A27" t="str">
        <v>% mix FIRMA</v>
      </c>
      <c r="C27">
        <v>10</v>
      </c>
      <c r="D27" t="str">
        <v>%</v>
      </c>
    </row>
    <row r="29">
      <c r="A29" t="str">
        <v>COSTES</v>
      </c>
      <c r="C29" t="str">
        <v>valor</v>
      </c>
    </row>
    <row r="30">
      <c r="A30" t="str">
        <v>Coste variable por cliente</v>
      </c>
      <c r="C30">
        <v>35</v>
      </c>
      <c r="D30" t="str">
        <v>EUR/cliente/mes</v>
      </c>
      <c r="E30" t="str">
        <v>Infra+AI+Stripe+Email+soporte</v>
      </c>
    </row>
    <row r="31">
      <c r="A31" t="str">
        <v>OPEX fijo mensual Y1</v>
      </c>
      <c r="C31">
        <v>1200</v>
      </c>
      <c r="D31" t="str">
        <v>EUR/mes</v>
      </c>
    </row>
    <row r="32">
      <c r="A32" t="str">
        <v>OPEX fijo mensual Y2</v>
      </c>
      <c r="C32">
        <v>8500</v>
      </c>
      <c r="D32" t="str">
        <v>EUR/mes</v>
      </c>
      <c r="E32" t="str">
        <v>Incluye 1 contratacion soporte</v>
      </c>
    </row>
    <row r="33">
      <c r="A33" t="str">
        <v>OPEX fijo mensual Y3</v>
      </c>
      <c r="C33">
        <v>22000</v>
      </c>
      <c r="D33" t="str">
        <v>EUR/mes</v>
      </c>
      <c r="E33" t="str">
        <v>Soporte + sales + marketing</v>
      </c>
    </row>
    <row r="34">
      <c r="A34" t="str">
        <v>CAC por nuevo cliente</v>
      </c>
      <c r="C34">
        <v>0</v>
      </c>
      <c r="D34" t="str">
        <v>EUR/cliente nuevo</v>
      </c>
      <c r="E34" t="str">
        <v>Blended: contenidos amortizados + paid puntual (0 si 100% organico)</v>
      </c>
    </row>
    <row r="36">
      <c r="A36" t="str">
        <v>ARPU MEDIO (calculado)</v>
      </c>
      <c r="C36">
        <f>C21*C25+C22*C26+C23*C27</f>
        <v>30900</v>
      </c>
      <c r="D36" t="str">
        <v>EUR/mes</v>
      </c>
      <c r="E36" t="str">
        <v>Mix-weighted (no editar; deriva de Pricing y Mix)</v>
      </c>
    </row>
    <row r="37">
      <c r="A37" t="str">
        <v>SETUP FEE MEDIO (calculado)</v>
      </c>
      <c r="C37">
        <f>E21*C25+E22*C26+E23*C27</f>
        <v>248.5</v>
      </c>
      <c r="D37" t="str">
        <v>EUR/cliente nuevo</v>
      </c>
      <c r="E37" t="str">
        <v>Mix-weighted (no editar; deriva de Setup y Mix)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40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0.83203125" customWidth="1"/>
    <col min="5" max="5" width="14.83203125" customWidth="1"/>
    <col min="6" max="6" width="14.83203125" customWidth="1"/>
    <col min="7" max="7" width="10.83203125" customWidth="1"/>
    <col min="8" max="8" width="14.83203125" customWidth="1"/>
    <col min="9" max="9" width="14.83203125" customWidth="1"/>
    <col min="10" max="10" width="16.83203125" customWidth="1"/>
    <col min="11" max="11" width="14.83203125" customWidth="1"/>
    <col min="12" max="12" width="16.83203125" customWidth="1"/>
    <col min="13" max="13" width="18.83203125" customWidth="1"/>
    <col min="14" max="14" width="12.83203125" customWidth="1"/>
    <col min="15" max="15" width="14.83203125" customWidth="1"/>
    <col min="16" max="16" width="14.83203125" customWidth="1"/>
    <col min="17" max="17" width="18.83203125" customWidth="1"/>
  </cols>
  <sheetData>
    <row r="1">
      <c r="A1" t="str">
        <v>PROYECCION MENSUAL - 36 MESES</v>
      </c>
    </row>
    <row r="2">
      <c r="A2" t="str">
        <v>Todas las cifras se recalculan al cambiar las Hipotesis</v>
      </c>
    </row>
    <row r="4">
      <c r="A4" t="str">
        <v>Mes</v>
      </c>
      <c r="B4" t="str">
        <v>Visitas SEO</v>
      </c>
      <c r="C4" t="str">
        <v>Free tool sessions</v>
      </c>
      <c r="D4" t="str">
        <v>Trials</v>
      </c>
      <c r="E4" t="str">
        <v>Nuevos clientes</v>
      </c>
      <c r="F4" t="str">
        <v>Clientes churn</v>
      </c>
      <c r="G4" t="str">
        <v>Net new</v>
      </c>
      <c r="H4" t="str">
        <v>Total clientes</v>
      </c>
      <c r="I4" t="str">
        <v>MRR (EUR)</v>
      </c>
      <c r="J4" t="str">
        <v>ARR (EUR)</v>
      </c>
      <c r="K4" t="str">
        <v>Setup rev (EUR)</v>
      </c>
      <c r="L4" t="str">
        <v>Revenue total (EUR)</v>
      </c>
      <c r="M4" t="str">
        <v>Coste variable (EUR)</v>
      </c>
      <c r="N4" t="str">
        <v>CAC (EUR)</v>
      </c>
      <c r="O4" t="str">
        <v>OPEX fijo (EUR)</v>
      </c>
      <c r="P4" t="str">
        <v>EBITDA (EUR)</v>
      </c>
      <c r="Q4" t="str">
        <v>Cash acumulado (EUR)</v>
      </c>
    </row>
    <row r="5">
      <c r="A5">
        <v>1</v>
      </c>
      <c r="B5">
        <f>ROUND(Hipotesis!$C$5,0)</f>
        <v>200</v>
      </c>
      <c r="C5">
        <f>ROUND(B5*Hipotesis!$C$11,0)</f>
        <v>30</v>
      </c>
      <c r="D5">
        <f>ROUND(C5*Hipotesis!$C$12,0)</f>
        <v>1</v>
      </c>
      <c r="E5">
        <f>ROUND(D5*Hipotesis!$C$13,0)</f>
        <v>0</v>
      </c>
      <c r="F5">
        <v>0</v>
      </c>
      <c r="G5">
        <f>E5-F5</f>
        <v>0</v>
      </c>
      <c r="H5">
        <f>MAX(0,G5)</f>
        <v>0</v>
      </c>
      <c r="I5">
        <f>ROUND(H5*Hipotesis!$C$36,0)</f>
        <v>83</v>
      </c>
      <c r="J5">
        <f>I5*12</f>
        <v>1001</v>
      </c>
      <c r="K5">
        <f>ROUND(E5*Hipotesis!$C$37,0)</f>
        <v>67</v>
      </c>
      <c r="L5">
        <f>I5+K5</f>
        <v>151</v>
      </c>
      <c r="M5">
        <f>ROUND(H5*Hipotesis!$C$30,0)</f>
        <v>9</v>
      </c>
      <c r="N5">
        <f>ROUND(E5*Hipotesis!$C$34,0)</f>
        <v>0</v>
      </c>
      <c r="O5">
        <f>Hipotesis!$C$31</f>
        <v>1200</v>
      </c>
      <c r="P5">
        <f>L5-M5-N5-O5</f>
        <v>-1059</v>
      </c>
      <c r="Q5">
        <f>P5</f>
        <v>-1059</v>
      </c>
    </row>
    <row r="6">
      <c r="A6">
        <v>2</v>
      </c>
      <c r="B6">
        <f>ROUND(B5*IF(2&lt;=Hipotesis!$C$7,Hipotesis!$C$6,Hipotesis!$C$8),0)</f>
        <v>290</v>
      </c>
      <c r="C6">
        <f>ROUND(B6*Hipotesis!$C$11,0)</f>
        <v>44</v>
      </c>
      <c r="D6">
        <f>ROUND(C6*Hipotesis!$C$12,0)</f>
        <v>1</v>
      </c>
      <c r="E6">
        <f>ROUND(D6*Hipotesis!$C$13,0)</f>
        <v>0</v>
      </c>
      <c r="F6">
        <f>ROUND(H5*Hipotesis!$C$16,0)</f>
        <v>0</v>
      </c>
      <c r="G6">
        <f>E6-F6</f>
        <v>0</v>
      </c>
      <c r="H6">
        <f>MAX(0,H5+G6)</f>
        <v>1</v>
      </c>
      <c r="I6">
        <f>ROUND(H6*Hipotesis!$C$36,0)</f>
        <v>202</v>
      </c>
      <c r="J6">
        <f>I6*12</f>
        <v>2428</v>
      </c>
      <c r="K6">
        <f>ROUND(E6*Hipotesis!$C$37,0)</f>
        <v>97</v>
      </c>
      <c r="L6">
        <f>I6+K6</f>
        <v>300</v>
      </c>
      <c r="M6">
        <f>ROUND(H6*Hipotesis!$C$30,0)</f>
        <v>23</v>
      </c>
      <c r="N6">
        <f>ROUND(E6*Hipotesis!$C$34,0)</f>
        <v>0</v>
      </c>
      <c r="O6">
        <f>Hipotesis!$C$31</f>
        <v>1200</v>
      </c>
      <c r="P6">
        <f>L6-M6-N6-O6</f>
        <v>-923</v>
      </c>
      <c r="Q6">
        <f>Q5+P6</f>
        <v>-1982</v>
      </c>
    </row>
    <row r="7">
      <c r="A7">
        <v>3</v>
      </c>
      <c r="B7">
        <f>ROUND(B6*IF(3&lt;=Hipotesis!$C$7,Hipotesis!$C$6,Hipotesis!$C$8),0)</f>
        <v>421</v>
      </c>
      <c r="C7">
        <f>ROUND(B7*Hipotesis!$C$11,0)</f>
        <v>63</v>
      </c>
      <c r="D7">
        <f>ROUND(C7*Hipotesis!$C$12,0)</f>
        <v>2</v>
      </c>
      <c r="E7">
        <f>ROUND(D7*Hipotesis!$C$13,0)</f>
        <v>1</v>
      </c>
      <c r="F7">
        <f>ROUND(H6*Hipotesis!$C$16,0)</f>
        <v>0</v>
      </c>
      <c r="G7">
        <f>E7-F7</f>
        <v>1</v>
      </c>
      <c r="H7">
        <f>MAX(0,H6+G7)</f>
        <v>1</v>
      </c>
      <c r="I7">
        <f>ROUND(H7*Hipotesis!$C$36,0)</f>
        <v>373</v>
      </c>
      <c r="J7">
        <f>I7*12</f>
        <v>4472</v>
      </c>
      <c r="K7">
        <f>ROUND(E7*Hipotesis!$C$37,0)</f>
        <v>141</v>
      </c>
      <c r="L7">
        <f>I7+K7</f>
        <v>514</v>
      </c>
      <c r="M7">
        <f>ROUND(H7*Hipotesis!$C$30,0)</f>
        <v>42</v>
      </c>
      <c r="N7">
        <f>ROUND(E7*Hipotesis!$C$34,0)</f>
        <v>0</v>
      </c>
      <c r="O7">
        <f>Hipotesis!$C$31</f>
        <v>1200</v>
      </c>
      <c r="P7">
        <f>L7-M7-N7-O7</f>
        <v>-728</v>
      </c>
      <c r="Q7">
        <f>Q6+P7</f>
        <v>-2711</v>
      </c>
    </row>
    <row r="8">
      <c r="A8">
        <v>4</v>
      </c>
      <c r="B8">
        <f>ROUND(B7*IF(4&lt;=Hipotesis!$C$7,Hipotesis!$C$6,Hipotesis!$C$8),0)</f>
        <v>610</v>
      </c>
      <c r="C8">
        <f>ROUND(B8*Hipotesis!$C$11,0)</f>
        <v>91</v>
      </c>
      <c r="D8">
        <f>ROUND(C8*Hipotesis!$C$12,0)</f>
        <v>3</v>
      </c>
      <c r="E8">
        <f>ROUND(D8*Hipotesis!$C$13,0)</f>
        <v>1</v>
      </c>
      <c r="F8">
        <f>ROUND(H7*Hipotesis!$C$16,0)</f>
        <v>0</v>
      </c>
      <c r="G8">
        <f>E8-F8</f>
        <v>1</v>
      </c>
      <c r="H8">
        <f>MAX(0,H7+G8)</f>
        <v>2</v>
      </c>
      <c r="I8">
        <f>ROUND(H8*Hipotesis!$C$36,0)</f>
        <v>618</v>
      </c>
      <c r="J8">
        <f>I8*12</f>
        <v>7412</v>
      </c>
      <c r="K8">
        <f>ROUND(E8*Hipotesis!$C$37,0)</f>
        <v>205</v>
      </c>
      <c r="L8">
        <f>I8+K8</f>
        <v>822</v>
      </c>
      <c r="M8">
        <f>ROUND(H8*Hipotesis!$C$30,0)</f>
        <v>70</v>
      </c>
      <c r="N8">
        <f>ROUND(E8*Hipotesis!$C$34,0)</f>
        <v>0</v>
      </c>
      <c r="O8">
        <f>Hipotesis!$C$31</f>
        <v>1200</v>
      </c>
      <c r="P8">
        <f>L8-M8-N8-O8</f>
        <v>-448</v>
      </c>
      <c r="Q8">
        <f>Q7+P8</f>
        <v>-3158</v>
      </c>
    </row>
    <row r="9">
      <c r="A9">
        <v>5</v>
      </c>
      <c r="B9">
        <f>ROUND(B8*IF(5&lt;=Hipotesis!$C$7,Hipotesis!$C$6,Hipotesis!$C$8),0)</f>
        <v>884</v>
      </c>
      <c r="C9">
        <f>ROUND(B9*Hipotesis!$C$11,0)</f>
        <v>133</v>
      </c>
      <c r="D9">
        <f>ROUND(C9*Hipotesis!$C$12,0)</f>
        <v>4</v>
      </c>
      <c r="E9">
        <f>ROUND(D9*Hipotesis!$C$13,0)</f>
        <v>1</v>
      </c>
      <c r="F9">
        <f>ROUND(H8*Hipotesis!$C$16,0)</f>
        <v>0</v>
      </c>
      <c r="G9">
        <f>E9-F9</f>
        <v>1</v>
      </c>
      <c r="H9">
        <f>MAX(0,H8+G9)</f>
        <v>3</v>
      </c>
      <c r="I9">
        <f>ROUND(H9*Hipotesis!$C$36,0)</f>
        <v>971</v>
      </c>
      <c r="J9">
        <f>I9*12</f>
        <v>11653</v>
      </c>
      <c r="K9">
        <f>ROUND(E9*Hipotesis!$C$37,0)</f>
        <v>297</v>
      </c>
      <c r="L9">
        <f>I9+K9</f>
        <v>1268</v>
      </c>
      <c r="M9">
        <f>ROUND(H9*Hipotesis!$C$30,0)</f>
        <v>110</v>
      </c>
      <c r="N9">
        <f>ROUND(E9*Hipotesis!$C$34,0)</f>
        <v>0</v>
      </c>
      <c r="O9">
        <f>Hipotesis!$C$31</f>
        <v>1200</v>
      </c>
      <c r="P9">
        <f>L9-M9-N9-O9</f>
        <v>-42</v>
      </c>
      <c r="Q9">
        <f>Q8+P9</f>
        <v>-3201</v>
      </c>
    </row>
    <row r="10">
      <c r="A10">
        <v>6</v>
      </c>
      <c r="B10">
        <f>ROUND(B9*IF(6&lt;=Hipotesis!$C$7,Hipotesis!$C$6,Hipotesis!$C$8),0)</f>
        <v>1282</v>
      </c>
      <c r="C10">
        <f>ROUND(B10*Hipotesis!$C$11,0)</f>
        <v>192</v>
      </c>
      <c r="D10">
        <f>ROUND(C10*Hipotesis!$C$12,0)</f>
        <v>6</v>
      </c>
      <c r="E10">
        <f>ROUND(D10*Hipotesis!$C$13,0)</f>
        <v>2</v>
      </c>
      <c r="F10">
        <f>ROUND(H9*Hipotesis!$C$16,0)</f>
        <v>0</v>
      </c>
      <c r="G10">
        <f>E10-F10</f>
        <v>2</v>
      </c>
      <c r="H10">
        <f>MAX(0,H9+G10)</f>
        <v>5</v>
      </c>
      <c r="I10">
        <f>ROUND(H10*Hipotesis!$C$36,0)</f>
        <v>1482</v>
      </c>
      <c r="J10">
        <f>I10*12</f>
        <v>17779</v>
      </c>
      <c r="K10">
        <f>ROUND(E10*Hipotesis!$C$37,0)</f>
        <v>430</v>
      </c>
      <c r="L10">
        <f>I10+K10</f>
        <v>1912</v>
      </c>
      <c r="M10">
        <f>ROUND(H10*Hipotesis!$C$30,0)</f>
        <v>168</v>
      </c>
      <c r="N10">
        <f>ROUND(E10*Hipotesis!$C$34,0)</f>
        <v>0</v>
      </c>
      <c r="O10">
        <f>Hipotesis!$C$31</f>
        <v>1200</v>
      </c>
      <c r="P10">
        <f>L10-M10-N10-O10</f>
        <v>544</v>
      </c>
      <c r="Q10">
        <f>Q9+P10</f>
        <v>-2657</v>
      </c>
    </row>
    <row r="11">
      <c r="A11">
        <v>7</v>
      </c>
      <c r="B11">
        <f>ROUND(B10*IF(7&lt;=Hipotesis!$C$7,Hipotesis!$C$6,Hipotesis!$C$8),0)</f>
        <v>1859</v>
      </c>
      <c r="C11">
        <f>ROUND(B11*Hipotesis!$C$11,0)</f>
        <v>279</v>
      </c>
      <c r="D11">
        <f>ROUND(C11*Hipotesis!$C$12,0)</f>
        <v>8</v>
      </c>
      <c r="E11">
        <f>ROUND(D11*Hipotesis!$C$13,0)</f>
        <v>3</v>
      </c>
      <c r="F11">
        <f>ROUND(H10*Hipotesis!$C$16,0)</f>
        <v>0</v>
      </c>
      <c r="G11">
        <f>E11-F11</f>
        <v>2</v>
      </c>
      <c r="H11">
        <f>MAX(0,H10+G11)</f>
        <v>7</v>
      </c>
      <c r="I11">
        <f>ROUND(H11*Hipotesis!$C$36,0)</f>
        <v>2220</v>
      </c>
      <c r="J11">
        <f>I11*12</f>
        <v>26639</v>
      </c>
      <c r="K11">
        <f>ROUND(E11*Hipotesis!$C$37,0)</f>
        <v>624</v>
      </c>
      <c r="L11">
        <f>I11+K11</f>
        <v>2844</v>
      </c>
      <c r="M11">
        <f>ROUND(H11*Hipotesis!$C$30,0)</f>
        <v>251</v>
      </c>
      <c r="N11">
        <f>ROUND(E11*Hipotesis!$C$34,0)</f>
        <v>0</v>
      </c>
      <c r="O11">
        <f>Hipotesis!$C$31</f>
        <v>1200</v>
      </c>
      <c r="P11">
        <f>L11-M11-N11-O11</f>
        <v>1392</v>
      </c>
      <c r="Q11">
        <f>Q10+P11</f>
        <v>-1265</v>
      </c>
    </row>
    <row r="12">
      <c r="A12">
        <v>8</v>
      </c>
      <c r="B12">
        <f>ROUND(B11*IF(8&lt;=Hipotesis!$C$7,Hipotesis!$C$6,Hipotesis!$C$8),0)</f>
        <v>2695</v>
      </c>
      <c r="C12">
        <f>ROUND(B12*Hipotesis!$C$11,0)</f>
        <v>404</v>
      </c>
      <c r="D12">
        <f>ROUND(C12*Hipotesis!$C$12,0)</f>
        <v>12</v>
      </c>
      <c r="E12">
        <f>ROUND(D12*Hipotesis!$C$13,0)</f>
        <v>4</v>
      </c>
      <c r="F12">
        <f>ROUND(H11*Hipotesis!$C$16,0)</f>
        <v>0</v>
      </c>
      <c r="G12">
        <f>E12-F12</f>
        <v>3</v>
      </c>
      <c r="H12">
        <f>MAX(0,H11+G12)</f>
        <v>11</v>
      </c>
      <c r="I12">
        <f>ROUND(H12*Hipotesis!$C$36,0)</f>
        <v>3289</v>
      </c>
      <c r="J12">
        <f>I12*12</f>
        <v>39465</v>
      </c>
      <c r="K12">
        <f>ROUND(E12*Hipotesis!$C$37,0)</f>
        <v>904</v>
      </c>
      <c r="L12">
        <f>I12+K12</f>
        <v>4193</v>
      </c>
      <c r="M12">
        <f>ROUND(H12*Hipotesis!$C$30,0)</f>
        <v>373</v>
      </c>
      <c r="N12">
        <f>ROUND(E12*Hipotesis!$C$34,0)</f>
        <v>0</v>
      </c>
      <c r="O12">
        <f>Hipotesis!$C$31</f>
        <v>1200</v>
      </c>
      <c r="P12">
        <f>L12-M12-N12-O12</f>
        <v>2620</v>
      </c>
      <c r="Q12">
        <f>Q11+P12</f>
        <v>1356</v>
      </c>
    </row>
    <row r="13">
      <c r="A13">
        <v>9</v>
      </c>
      <c r="B13">
        <f>ROUND(B12*IF(9&lt;=Hipotesis!$C$7,Hipotesis!$C$6,Hipotesis!$C$8),0)</f>
        <v>3908</v>
      </c>
      <c r="C13">
        <f>ROUND(B13*Hipotesis!$C$11,0)</f>
        <v>586</v>
      </c>
      <c r="D13">
        <f>ROUND(C13*Hipotesis!$C$12,0)</f>
        <v>18</v>
      </c>
      <c r="E13">
        <f>ROUND(D13*Hipotesis!$C$13,0)</f>
        <v>5</v>
      </c>
      <c r="F13">
        <f>ROUND(H12*Hipotesis!$C$16,0)</f>
        <v>0</v>
      </c>
      <c r="G13">
        <f>E13-F13</f>
        <v>5</v>
      </c>
      <c r="H13">
        <f>MAX(0,H12+G13)</f>
        <v>16</v>
      </c>
      <c r="I13">
        <f>ROUND(H13*Hipotesis!$C$36,0)</f>
        <v>4837</v>
      </c>
      <c r="J13">
        <f>I13*12</f>
        <v>58042</v>
      </c>
      <c r="K13">
        <f>ROUND(E13*Hipotesis!$C$37,0)</f>
        <v>1311</v>
      </c>
      <c r="L13">
        <f>I13+K13</f>
        <v>6148</v>
      </c>
      <c r="M13">
        <f>ROUND(H13*Hipotesis!$C$30,0)</f>
        <v>548</v>
      </c>
      <c r="N13">
        <f>ROUND(E13*Hipotesis!$C$34,0)</f>
        <v>0</v>
      </c>
      <c r="O13">
        <f>Hipotesis!$C$31</f>
        <v>1200</v>
      </c>
      <c r="P13">
        <f>L13-M13-N13-O13</f>
        <v>4400</v>
      </c>
      <c r="Q13">
        <f>Q12+P13</f>
        <v>5756</v>
      </c>
    </row>
    <row r="14">
      <c r="A14">
        <v>10</v>
      </c>
      <c r="B14">
        <f>ROUND(B13*IF(10&lt;=Hipotesis!$C$7,Hipotesis!$C$6,Hipotesis!$C$8),0)</f>
        <v>4377</v>
      </c>
      <c r="C14">
        <f>ROUND(B14*Hipotesis!$C$11,0)</f>
        <v>657</v>
      </c>
      <c r="D14">
        <f>ROUND(C14*Hipotesis!$C$12,0)</f>
        <v>20</v>
      </c>
      <c r="E14">
        <f>ROUND(D14*Hipotesis!$C$13,0)</f>
        <v>6</v>
      </c>
      <c r="F14">
        <f>ROUND(H13*Hipotesis!$C$16,0)</f>
        <v>0</v>
      </c>
      <c r="G14">
        <f>E14-F14</f>
        <v>6</v>
      </c>
      <c r="H14">
        <f>MAX(0,H13+G14)</f>
        <v>21</v>
      </c>
      <c r="I14">
        <f>ROUND(H14*Hipotesis!$C$36,0)</f>
        <v>6542</v>
      </c>
      <c r="J14">
        <f>I14*12</f>
        <v>78502</v>
      </c>
      <c r="K14">
        <f>ROUND(E14*Hipotesis!$C$37,0)</f>
        <v>1468</v>
      </c>
      <c r="L14">
        <f>I14+K14</f>
        <v>8010</v>
      </c>
      <c r="M14">
        <f>ROUND(H14*Hipotesis!$C$30,0)</f>
        <v>741</v>
      </c>
      <c r="N14">
        <f>ROUND(E14*Hipotesis!$C$34,0)</f>
        <v>0</v>
      </c>
      <c r="O14">
        <f>Hipotesis!$C$31</f>
        <v>1200</v>
      </c>
      <c r="P14">
        <f>L14-M14-N14-O14</f>
        <v>6069</v>
      </c>
      <c r="Q14">
        <f>Q13+P14</f>
        <v>11825</v>
      </c>
    </row>
    <row r="15">
      <c r="A15">
        <v>11</v>
      </c>
      <c r="B15">
        <f>ROUND(B14*IF(11&lt;=Hipotesis!$C$7,Hipotesis!$C$6,Hipotesis!$C$8),0)</f>
        <v>4902</v>
      </c>
      <c r="C15">
        <f>ROUND(B15*Hipotesis!$C$11,0)</f>
        <v>735</v>
      </c>
      <c r="D15">
        <f>ROUND(C15*Hipotesis!$C$12,0)</f>
        <v>22</v>
      </c>
      <c r="E15">
        <f>ROUND(D15*Hipotesis!$C$13,0)</f>
        <v>7</v>
      </c>
      <c r="F15">
        <f>ROUND(H14*Hipotesis!$C$16,0)</f>
        <v>1</v>
      </c>
      <c r="G15">
        <f>E15-F15</f>
        <v>6</v>
      </c>
      <c r="H15">
        <f>MAX(0,H14+G15)</f>
        <v>27</v>
      </c>
      <c r="I15">
        <f>ROUND(H15*Hipotesis!$C$36,0)</f>
        <v>8423</v>
      </c>
      <c r="J15">
        <f>I15*12</f>
        <v>101080</v>
      </c>
      <c r="K15">
        <f>ROUND(E15*Hipotesis!$C$37,0)</f>
        <v>1645</v>
      </c>
      <c r="L15">
        <f>I15+K15</f>
        <v>10068</v>
      </c>
      <c r="M15">
        <f>ROUND(H15*Hipotesis!$C$30,0)</f>
        <v>954</v>
      </c>
      <c r="N15">
        <f>ROUND(E15*Hipotesis!$C$34,0)</f>
        <v>0</v>
      </c>
      <c r="O15">
        <f>Hipotesis!$C$31</f>
        <v>1200</v>
      </c>
      <c r="P15">
        <f>L15-M15-N15-O15</f>
        <v>7914</v>
      </c>
      <c r="Q15">
        <f>Q14+P15</f>
        <v>19739</v>
      </c>
    </row>
    <row r="16">
      <c r="A16">
        <v>12</v>
      </c>
      <c r="B16">
        <f>ROUND(B15*IF(12&lt;=Hipotesis!$C$7,Hipotesis!$C$6,Hipotesis!$C$8),0)</f>
        <v>5491</v>
      </c>
      <c r="C16">
        <f>ROUND(B16*Hipotesis!$C$11,0)</f>
        <v>824</v>
      </c>
      <c r="D16">
        <f>ROUND(C16*Hipotesis!$C$12,0)</f>
        <v>25</v>
      </c>
      <c r="E16">
        <f>ROUND(D16*Hipotesis!$C$13,0)</f>
        <v>7</v>
      </c>
      <c r="F16">
        <f>ROUND(H15*Hipotesis!$C$16,0)</f>
        <v>1</v>
      </c>
      <c r="G16">
        <f>E16-F16</f>
        <v>7</v>
      </c>
      <c r="H16">
        <f>MAX(0,H15+G16)</f>
        <v>34</v>
      </c>
      <c r="I16">
        <f>ROUND(H16*Hipotesis!$C$36,0)</f>
        <v>10503</v>
      </c>
      <c r="J16">
        <f>I16*12</f>
        <v>126038</v>
      </c>
      <c r="K16">
        <f>ROUND(E16*Hipotesis!$C$37,0)</f>
        <v>1842</v>
      </c>
      <c r="L16">
        <f>I16+K16</f>
        <v>12345</v>
      </c>
      <c r="M16">
        <f>ROUND(H16*Hipotesis!$C$30,0)</f>
        <v>1190</v>
      </c>
      <c r="N16">
        <f>ROUND(E16*Hipotesis!$C$34,0)</f>
        <v>0</v>
      </c>
      <c r="O16">
        <f>Hipotesis!$C$31</f>
        <v>1200</v>
      </c>
      <c r="P16">
        <f>L16-M16-N16-O16</f>
        <v>9956</v>
      </c>
      <c r="Q16">
        <f>Q15+P16</f>
        <v>29694</v>
      </c>
    </row>
    <row r="17">
      <c r="A17">
        <v>13</v>
      </c>
      <c r="B17">
        <f>ROUND(B16*IF(13&lt;=Hipotesis!$C$7,Hipotesis!$C$6,Hipotesis!$C$8),0)</f>
        <v>6150</v>
      </c>
      <c r="C17">
        <f>ROUND(B17*Hipotesis!$C$11,0)</f>
        <v>922</v>
      </c>
      <c r="D17">
        <f>ROUND(C17*Hipotesis!$C$12,0)</f>
        <v>28</v>
      </c>
      <c r="E17">
        <f>ROUND(D17*Hipotesis!$C$13,0)</f>
        <v>8</v>
      </c>
      <c r="F17">
        <f>ROUND(H16*Hipotesis!$C$17,0)</f>
        <v>1</v>
      </c>
      <c r="G17">
        <f>E17-F17</f>
        <v>8</v>
      </c>
      <c r="H17">
        <f>MAX(0,H16+G17)</f>
        <v>42</v>
      </c>
      <c r="I17">
        <f>ROUND(H17*Hipotesis!$C$36,0)</f>
        <v>12858</v>
      </c>
      <c r="J17">
        <f>I17*12</f>
        <v>154301</v>
      </c>
      <c r="K17">
        <f>ROUND(E17*Hipotesis!$C$37,0)</f>
        <v>2063</v>
      </c>
      <c r="L17">
        <f>I17+K17</f>
        <v>14921</v>
      </c>
      <c r="M17">
        <f>ROUND(H17*Hipotesis!$C$30,0)</f>
        <v>1456</v>
      </c>
      <c r="N17">
        <f>ROUND(E17*Hipotesis!$C$34,0)</f>
        <v>0</v>
      </c>
      <c r="O17">
        <f>Hipotesis!$C$32</f>
        <v>8500</v>
      </c>
      <c r="P17">
        <f>L17-M17-N17-O17</f>
        <v>4965</v>
      </c>
      <c r="Q17">
        <f>Q16+P17</f>
        <v>34659</v>
      </c>
    </row>
    <row r="18">
      <c r="A18">
        <v>14</v>
      </c>
      <c r="B18">
        <f>ROUND(B17*IF(14&lt;=Hipotesis!$C$7,Hipotesis!$C$6,Hipotesis!$C$8),0)</f>
        <v>6888</v>
      </c>
      <c r="C18">
        <f>ROUND(B18*Hipotesis!$C$11,0)</f>
        <v>1033</v>
      </c>
      <c r="D18">
        <f>ROUND(C18*Hipotesis!$C$12,0)</f>
        <v>31</v>
      </c>
      <c r="E18">
        <f>ROUND(D18*Hipotesis!$C$13,0)</f>
        <v>9</v>
      </c>
      <c r="F18">
        <f>ROUND(H17*Hipotesis!$C$17,0)</f>
        <v>1</v>
      </c>
      <c r="G18">
        <f>E18-F18</f>
        <v>8</v>
      </c>
      <c r="H18">
        <f>MAX(0,H17+G18)</f>
        <v>50</v>
      </c>
      <c r="I18">
        <f>ROUND(H18*Hipotesis!$C$36,0)</f>
        <v>15474</v>
      </c>
      <c r="J18">
        <f>I18*12</f>
        <v>185693</v>
      </c>
      <c r="K18">
        <f>ROUND(E18*Hipotesis!$C$37,0)</f>
        <v>2311</v>
      </c>
      <c r="L18">
        <f>I18+K18</f>
        <v>17785</v>
      </c>
      <c r="M18">
        <f>ROUND(H18*Hipotesis!$C$30,0)</f>
        <v>1753</v>
      </c>
      <c r="N18">
        <f>ROUND(E18*Hipotesis!$C$34,0)</f>
        <v>0</v>
      </c>
      <c r="O18">
        <f>Hipotesis!$C$32</f>
        <v>8500</v>
      </c>
      <c r="P18">
        <f>L18-M18-N18-O18</f>
        <v>7532</v>
      </c>
      <c r="Q18">
        <f>Q17+P18</f>
        <v>42192</v>
      </c>
    </row>
    <row r="19">
      <c r="A19">
        <v>15</v>
      </c>
      <c r="B19">
        <f>ROUND(B18*IF(15&lt;=Hipotesis!$C$7,Hipotesis!$C$6,Hipotesis!$C$8),0)</f>
        <v>7714</v>
      </c>
      <c r="C19">
        <f>ROUND(B19*Hipotesis!$C$11,0)</f>
        <v>1157</v>
      </c>
      <c r="D19">
        <f>ROUND(C19*Hipotesis!$C$12,0)</f>
        <v>35</v>
      </c>
      <c r="E19">
        <f>ROUND(D19*Hipotesis!$C$13,0)</f>
        <v>10</v>
      </c>
      <c r="F19">
        <f>ROUND(H18*Hipotesis!$C$17,0)</f>
        <v>1</v>
      </c>
      <c r="G19">
        <f>E19-F19</f>
        <v>9</v>
      </c>
      <c r="H19">
        <f>MAX(0,H18+G19)</f>
        <v>59</v>
      </c>
      <c r="I19">
        <f>ROUND(H19*Hipotesis!$C$36,0)</f>
        <v>18383</v>
      </c>
      <c r="J19">
        <f>I19*12</f>
        <v>220594</v>
      </c>
      <c r="K19">
        <f>ROUND(E19*Hipotesis!$C$37,0)</f>
        <v>2588</v>
      </c>
      <c r="L19">
        <f>I19+K19</f>
        <v>20971</v>
      </c>
      <c r="M19">
        <f>ROUND(H19*Hipotesis!$C$30,0)</f>
        <v>2082</v>
      </c>
      <c r="N19">
        <f>ROUND(E19*Hipotesis!$C$34,0)</f>
        <v>0</v>
      </c>
      <c r="O19">
        <f>Hipotesis!$C$32</f>
        <v>8500</v>
      </c>
      <c r="P19">
        <f>L19-M19-N19-O19</f>
        <v>10389</v>
      </c>
      <c r="Q19">
        <f>Q18+P19</f>
        <v>52580</v>
      </c>
    </row>
    <row r="20">
      <c r="A20">
        <v>16</v>
      </c>
      <c r="B20">
        <f>ROUND(B19*IF(16&lt;=Hipotesis!$C$7,Hipotesis!$C$6,Hipotesis!$C$8),0)</f>
        <v>8640</v>
      </c>
      <c r="C20">
        <f>ROUND(B20*Hipotesis!$C$11,0)</f>
        <v>1296</v>
      </c>
      <c r="D20">
        <f>ROUND(C20*Hipotesis!$C$12,0)</f>
        <v>39</v>
      </c>
      <c r="E20">
        <f>ROUND(D20*Hipotesis!$C$13,0)</f>
        <v>12</v>
      </c>
      <c r="F20">
        <f>ROUND(H19*Hipotesis!$C$17,0)</f>
        <v>1</v>
      </c>
      <c r="G20">
        <f>E20-F20</f>
        <v>10</v>
      </c>
      <c r="H20">
        <f>MAX(0,H19+G20)</f>
        <v>70</v>
      </c>
      <c r="I20">
        <f>ROUND(H20*Hipotesis!$C$36,0)</f>
        <v>21619</v>
      </c>
      <c r="J20">
        <f>I20*12</f>
        <v>259431</v>
      </c>
      <c r="K20">
        <f>ROUND(E20*Hipotesis!$C$37,0)</f>
        <v>2898</v>
      </c>
      <c r="L20">
        <f>I20+K20</f>
        <v>24518</v>
      </c>
      <c r="M20">
        <f>ROUND(H20*Hipotesis!$C$30,0)</f>
        <v>2449</v>
      </c>
      <c r="N20">
        <f>ROUND(E20*Hipotesis!$C$34,0)</f>
        <v>0</v>
      </c>
      <c r="O20">
        <f>Hipotesis!$C$32</f>
        <v>8500</v>
      </c>
      <c r="P20">
        <f>L20-M20-N20-O20</f>
        <v>13569</v>
      </c>
      <c r="Q20">
        <f>Q19+P20</f>
        <v>66149</v>
      </c>
    </row>
    <row r="21">
      <c r="A21">
        <v>17</v>
      </c>
      <c r="B21">
        <f>ROUND(B20*IF(17&lt;=Hipotesis!$C$7,Hipotesis!$C$6,Hipotesis!$C$8),0)</f>
        <v>9676</v>
      </c>
      <c r="C21">
        <f>ROUND(B21*Hipotesis!$C$11,0)</f>
        <v>1451</v>
      </c>
      <c r="D21">
        <f>ROUND(C21*Hipotesis!$C$12,0)</f>
        <v>44</v>
      </c>
      <c r="E21">
        <f>ROUND(D21*Hipotesis!$C$13,0)</f>
        <v>13</v>
      </c>
      <c r="F21">
        <f>ROUND(H20*Hipotesis!$C$17,0)</f>
        <v>1</v>
      </c>
      <c r="G21">
        <f>E21-F21</f>
        <v>12</v>
      </c>
      <c r="H21">
        <f>MAX(0,H20+G21)</f>
        <v>82</v>
      </c>
      <c r="I21">
        <f>ROUND(H21*Hipotesis!$C$36,0)</f>
        <v>25223</v>
      </c>
      <c r="J21">
        <f>I21*12</f>
        <v>302681</v>
      </c>
      <c r="K21">
        <f>ROUND(E21*Hipotesis!$C$37,0)</f>
        <v>3246</v>
      </c>
      <c r="L21">
        <f>I21+K21</f>
        <v>28470</v>
      </c>
      <c r="M21">
        <f>ROUND(H21*Hipotesis!$C$30,0)</f>
        <v>2857</v>
      </c>
      <c r="N21">
        <f>ROUND(E21*Hipotesis!$C$34,0)</f>
        <v>0</v>
      </c>
      <c r="O21">
        <f>Hipotesis!$C$32</f>
        <v>8500</v>
      </c>
      <c r="P21">
        <f>L21-M21-N21-O21</f>
        <v>17113</v>
      </c>
      <c r="Q21">
        <f>Q20+P21</f>
        <v>83262</v>
      </c>
    </row>
    <row r="22">
      <c r="A22">
        <v>18</v>
      </c>
      <c r="B22">
        <f>ROUND(B21*IF(18&lt;=Hipotesis!$C$7,Hipotesis!$C$6,Hipotesis!$C$8),0)</f>
        <v>10838</v>
      </c>
      <c r="C22">
        <f>ROUND(B22*Hipotesis!$C$11,0)</f>
        <v>1626</v>
      </c>
      <c r="D22">
        <f>ROUND(C22*Hipotesis!$C$12,0)</f>
        <v>49</v>
      </c>
      <c r="E22">
        <f>ROUND(D22*Hipotesis!$C$13,0)</f>
        <v>15</v>
      </c>
      <c r="F22">
        <f>ROUND(H21*Hipotesis!$C$17,0)</f>
        <v>2</v>
      </c>
      <c r="G22">
        <f>E22-F22</f>
        <v>13</v>
      </c>
      <c r="H22">
        <f>MAX(0,H21+G22)</f>
        <v>95</v>
      </c>
      <c r="I22">
        <f>ROUND(H22*Hipotesis!$C$36,0)</f>
        <v>29240</v>
      </c>
      <c r="J22">
        <f>I22*12</f>
        <v>350879</v>
      </c>
      <c r="K22">
        <f>ROUND(E22*Hipotesis!$C$37,0)</f>
        <v>3636</v>
      </c>
      <c r="L22">
        <f>I22+K22</f>
        <v>32876</v>
      </c>
      <c r="M22">
        <f>ROUND(H22*Hipotesis!$C$30,0)</f>
        <v>3312</v>
      </c>
      <c r="N22">
        <f>ROUND(E22*Hipotesis!$C$34,0)</f>
        <v>0</v>
      </c>
      <c r="O22">
        <f>Hipotesis!$C$32</f>
        <v>8500</v>
      </c>
      <c r="P22">
        <f>L22-M22-N22-O22</f>
        <v>21064</v>
      </c>
      <c r="Q22">
        <f>Q21+P22</f>
        <v>104325</v>
      </c>
    </row>
    <row r="23">
      <c r="A23">
        <v>19</v>
      </c>
      <c r="B23">
        <f>ROUND(B22*IF(19&lt;=Hipotesis!$C$7,Hipotesis!$C$6,Hipotesis!$C$8),0)</f>
        <v>12138</v>
      </c>
      <c r="C23">
        <f>ROUND(B23*Hipotesis!$C$11,0)</f>
        <v>1821</v>
      </c>
      <c r="D23">
        <f>ROUND(C23*Hipotesis!$C$12,0)</f>
        <v>55</v>
      </c>
      <c r="E23">
        <f>ROUND(D23*Hipotesis!$C$13,0)</f>
        <v>16</v>
      </c>
      <c r="F23">
        <f>ROUND(H22*Hipotesis!$C$17,0)</f>
        <v>2</v>
      </c>
      <c r="G23">
        <f>E23-F23</f>
        <v>14</v>
      </c>
      <c r="H23">
        <f>MAX(0,H22+G23)</f>
        <v>109</v>
      </c>
      <c r="I23">
        <f>ROUND(H23*Hipotesis!$C$36,0)</f>
        <v>33719</v>
      </c>
      <c r="J23">
        <f>I23*12</f>
        <v>404622</v>
      </c>
      <c r="K23">
        <f>ROUND(E23*Hipotesis!$C$37,0)</f>
        <v>4072</v>
      </c>
      <c r="L23">
        <f>I23+K23</f>
        <v>37791</v>
      </c>
      <c r="M23">
        <f>ROUND(H23*Hipotesis!$C$30,0)</f>
        <v>3819</v>
      </c>
      <c r="N23">
        <f>ROUND(E23*Hipotesis!$C$34,0)</f>
        <v>0</v>
      </c>
      <c r="O23">
        <f>Hipotesis!$C$32</f>
        <v>8500</v>
      </c>
      <c r="P23">
        <f>L23-M23-N23-O23</f>
        <v>25471</v>
      </c>
      <c r="Q23">
        <f>Q22+P23</f>
        <v>129797</v>
      </c>
    </row>
    <row r="24">
      <c r="A24">
        <v>20</v>
      </c>
      <c r="B24">
        <f>ROUND(B23*IF(20&lt;=Hipotesis!$C$7,Hipotesis!$C$6,Hipotesis!$C$8),0)</f>
        <v>13595</v>
      </c>
      <c r="C24">
        <f>ROUND(B24*Hipotesis!$C$11,0)</f>
        <v>2039</v>
      </c>
      <c r="D24">
        <f>ROUND(C24*Hipotesis!$C$12,0)</f>
        <v>61</v>
      </c>
      <c r="E24">
        <f>ROUND(D24*Hipotesis!$C$13,0)</f>
        <v>18</v>
      </c>
      <c r="F24">
        <f>ROUND(H23*Hipotesis!$C$17,0)</f>
        <v>2</v>
      </c>
      <c r="G24">
        <f>E24-F24</f>
        <v>16</v>
      </c>
      <c r="H24">
        <f>MAX(0,H23+G24)</f>
        <v>125</v>
      </c>
      <c r="I24">
        <f>ROUND(H24*Hipotesis!$C$36,0)</f>
        <v>38715</v>
      </c>
      <c r="J24">
        <f>I24*12</f>
        <v>464583</v>
      </c>
      <c r="K24">
        <f>ROUND(E24*Hipotesis!$C$37,0)</f>
        <v>4561</v>
      </c>
      <c r="L24">
        <f>I24+K24</f>
        <v>43276</v>
      </c>
      <c r="M24">
        <f>ROUND(H24*Hipotesis!$C$30,0)</f>
        <v>4385</v>
      </c>
      <c r="N24">
        <f>ROUND(E24*Hipotesis!$C$34,0)</f>
        <v>0</v>
      </c>
      <c r="O24">
        <f>Hipotesis!$C$32</f>
        <v>8500</v>
      </c>
      <c r="P24">
        <f>L24-M24-N24-O24</f>
        <v>30391</v>
      </c>
      <c r="Q24">
        <f>Q23+P24</f>
        <v>160187</v>
      </c>
    </row>
    <row r="25">
      <c r="A25">
        <v>21</v>
      </c>
      <c r="B25">
        <f>ROUND(B24*IF(21&lt;=Hipotesis!$C$7,Hipotesis!$C$6,Hipotesis!$C$8),0)</f>
        <v>15226</v>
      </c>
      <c r="C25">
        <f>ROUND(B25*Hipotesis!$C$11,0)</f>
        <v>2284</v>
      </c>
      <c r="D25">
        <f>ROUND(C25*Hipotesis!$C$12,0)</f>
        <v>69</v>
      </c>
      <c r="E25">
        <f>ROUND(D25*Hipotesis!$C$13,0)</f>
        <v>21</v>
      </c>
      <c r="F25">
        <f>ROUND(H24*Hipotesis!$C$17,0)</f>
        <v>3</v>
      </c>
      <c r="G25">
        <f>E25-F25</f>
        <v>18</v>
      </c>
      <c r="H25">
        <f>MAX(0,H24+G25)</f>
        <v>143</v>
      </c>
      <c r="I25">
        <f>ROUND(H25*Hipotesis!$C$36,0)</f>
        <v>44293</v>
      </c>
      <c r="J25">
        <f>I25*12</f>
        <v>531510</v>
      </c>
      <c r="K25">
        <f>ROUND(E25*Hipotesis!$C$37,0)</f>
        <v>5108</v>
      </c>
      <c r="L25">
        <f>I25+K25</f>
        <v>49401</v>
      </c>
      <c r="M25">
        <f>ROUND(H25*Hipotesis!$C$30,0)</f>
        <v>5017</v>
      </c>
      <c r="N25">
        <f>ROUND(E25*Hipotesis!$C$34,0)</f>
        <v>0</v>
      </c>
      <c r="O25">
        <f>Hipotesis!$C$32</f>
        <v>8500</v>
      </c>
      <c r="P25">
        <f>L25-M25-N25-O25</f>
        <v>35884</v>
      </c>
      <c r="Q25">
        <f>Q24+P25</f>
        <v>196071</v>
      </c>
    </row>
    <row r="26">
      <c r="A26">
        <v>22</v>
      </c>
      <c r="B26">
        <f>ROUND(B25*IF(22&lt;=Hipotesis!$C$7,Hipotesis!$C$6,Hipotesis!$C$8),0)</f>
        <v>17053</v>
      </c>
      <c r="C26">
        <f>ROUND(B26*Hipotesis!$C$11,0)</f>
        <v>2558</v>
      </c>
      <c r="D26">
        <f>ROUND(C26*Hipotesis!$C$12,0)</f>
        <v>77</v>
      </c>
      <c r="E26">
        <f>ROUND(D26*Hipotesis!$C$13,0)</f>
        <v>23</v>
      </c>
      <c r="F26">
        <f>ROUND(H25*Hipotesis!$C$17,0)</f>
        <v>3</v>
      </c>
      <c r="G26">
        <f>E26-F26</f>
        <v>20</v>
      </c>
      <c r="H26">
        <f>MAX(0,H25+G26)</f>
        <v>163</v>
      </c>
      <c r="I26">
        <f>ROUND(H26*Hipotesis!$C$36,0)</f>
        <v>50520</v>
      </c>
      <c r="J26">
        <f>I26*12</f>
        <v>606245</v>
      </c>
      <c r="K26">
        <f>ROUND(E26*Hipotesis!$C$37,0)</f>
        <v>5721</v>
      </c>
      <c r="L26">
        <f>I26+K26</f>
        <v>56241</v>
      </c>
      <c r="M26">
        <f>ROUND(H26*Hipotesis!$C$30,0)</f>
        <v>5722</v>
      </c>
      <c r="N26">
        <f>ROUND(E26*Hipotesis!$C$34,0)</f>
        <v>0</v>
      </c>
      <c r="O26">
        <f>Hipotesis!$C$32</f>
        <v>8500</v>
      </c>
      <c r="P26">
        <f>L26-M26-N26-O26</f>
        <v>42019</v>
      </c>
      <c r="Q26">
        <f>Q25+P26</f>
        <v>238090</v>
      </c>
    </row>
    <row r="27">
      <c r="A27">
        <v>23</v>
      </c>
      <c r="B27">
        <f>ROUND(B26*IF(23&lt;=Hipotesis!$C$7,Hipotesis!$C$6,Hipotesis!$C$8),0)</f>
        <v>19100</v>
      </c>
      <c r="C27">
        <f>ROUND(B27*Hipotesis!$C$11,0)</f>
        <v>2865</v>
      </c>
      <c r="D27">
        <f>ROUND(C27*Hipotesis!$C$12,0)</f>
        <v>86</v>
      </c>
      <c r="E27">
        <f>ROUND(D27*Hipotesis!$C$13,0)</f>
        <v>26</v>
      </c>
      <c r="F27">
        <f>ROUND(H26*Hipotesis!$C$17,0)</f>
        <v>3</v>
      </c>
      <c r="G27">
        <f>E27-F27</f>
        <v>23</v>
      </c>
      <c r="H27">
        <f>MAX(0,H26+G27)</f>
        <v>186</v>
      </c>
      <c r="I27">
        <f>ROUND(H27*Hipotesis!$C$36,0)</f>
        <v>57477</v>
      </c>
      <c r="J27">
        <f>I27*12</f>
        <v>689730</v>
      </c>
      <c r="K27">
        <f>ROUND(E27*Hipotesis!$C$37,0)</f>
        <v>6407</v>
      </c>
      <c r="L27">
        <f>I27+K27</f>
        <v>63885</v>
      </c>
      <c r="M27">
        <f>ROUND(H27*Hipotesis!$C$30,0)</f>
        <v>6510</v>
      </c>
      <c r="N27">
        <f>ROUND(E27*Hipotesis!$C$34,0)</f>
        <v>0</v>
      </c>
      <c r="O27">
        <f>Hipotesis!$C$32</f>
        <v>8500</v>
      </c>
      <c r="P27">
        <f>L27-M27-N27-O27</f>
        <v>48875</v>
      </c>
      <c r="Q27">
        <f>Q26+P27</f>
        <v>286964</v>
      </c>
    </row>
    <row r="28">
      <c r="A28">
        <v>24</v>
      </c>
      <c r="B28">
        <f>ROUND(B27*IF(24&lt;=Hipotesis!$C$7,Hipotesis!$C$6,Hipotesis!$C$8),0)</f>
        <v>21392</v>
      </c>
      <c r="C28">
        <f>ROUND(B28*Hipotesis!$C$11,0)</f>
        <v>3209</v>
      </c>
      <c r="D28">
        <f>ROUND(C28*Hipotesis!$C$12,0)</f>
        <v>96</v>
      </c>
      <c r="E28">
        <f>ROUND(D28*Hipotesis!$C$13,0)</f>
        <v>29</v>
      </c>
      <c r="F28">
        <f>ROUND(H27*Hipotesis!$C$17,0)</f>
        <v>4</v>
      </c>
      <c r="G28">
        <f>E28-F28</f>
        <v>25</v>
      </c>
      <c r="H28">
        <f>MAX(0,H27+G28)</f>
        <v>211</v>
      </c>
      <c r="I28">
        <f>ROUND(H28*Hipotesis!$C$36,0)</f>
        <v>65251</v>
      </c>
      <c r="J28">
        <f>I28*12</f>
        <v>783017</v>
      </c>
      <c r="K28">
        <f>ROUND(E28*Hipotesis!$C$37,0)</f>
        <v>7176</v>
      </c>
      <c r="L28">
        <f>I28+K28</f>
        <v>72428</v>
      </c>
      <c r="M28">
        <f>ROUND(H28*Hipotesis!$C$30,0)</f>
        <v>7391</v>
      </c>
      <c r="N28">
        <f>ROUND(E28*Hipotesis!$C$34,0)</f>
        <v>0</v>
      </c>
      <c r="O28">
        <f>Hipotesis!$C$32</f>
        <v>8500</v>
      </c>
      <c r="P28">
        <f>L28-M28-N28-O28</f>
        <v>56537</v>
      </c>
      <c r="Q28">
        <f>Q27+P28</f>
        <v>343501</v>
      </c>
    </row>
    <row r="29">
      <c r="A29">
        <v>25</v>
      </c>
      <c r="B29">
        <f>ROUND(B28*IF(25&lt;=Hipotesis!$C$7,Hipotesis!$C$6,Hipotesis!$C$8),0)</f>
        <v>23959</v>
      </c>
      <c r="C29">
        <f>ROUND(B29*Hipotesis!$C$11,0)</f>
        <v>3594</v>
      </c>
      <c r="D29">
        <f>ROUND(C29*Hipotesis!$C$12,0)</f>
        <v>108</v>
      </c>
      <c r="E29">
        <f>ROUND(D29*Hipotesis!$C$13,0)</f>
        <v>32</v>
      </c>
      <c r="F29">
        <f>ROUND(H28*Hipotesis!$C$18,0)</f>
        <v>3</v>
      </c>
      <c r="G29">
        <f>E29-F29</f>
        <v>29</v>
      </c>
      <c r="H29">
        <f>MAX(0,H28+G29)</f>
        <v>240</v>
      </c>
      <c r="I29">
        <f>ROUND(H29*Hipotesis!$C$36,0)</f>
        <v>74267</v>
      </c>
      <c r="J29">
        <f>I29*12</f>
        <v>891204</v>
      </c>
      <c r="K29">
        <f>ROUND(E29*Hipotesis!$C$37,0)</f>
        <v>8038</v>
      </c>
      <c r="L29">
        <f>I29+K29</f>
        <v>82305</v>
      </c>
      <c r="M29">
        <f>ROUND(H29*Hipotesis!$C$30,0)</f>
        <v>8412</v>
      </c>
      <c r="N29">
        <f>ROUND(E29*Hipotesis!$C$34,0)</f>
        <v>0</v>
      </c>
      <c r="O29">
        <f>Hipotesis!$C$33</f>
        <v>22000</v>
      </c>
      <c r="P29">
        <f>L29-M29-N29-O29</f>
        <v>51892</v>
      </c>
      <c r="Q29">
        <f>Q28+P29</f>
        <v>395394</v>
      </c>
    </row>
    <row r="30">
      <c r="A30">
        <v>26</v>
      </c>
      <c r="B30">
        <f>ROUND(B29*IF(26&lt;=Hipotesis!$C$7,Hipotesis!$C$6,Hipotesis!$C$8),0)</f>
        <v>26834</v>
      </c>
      <c r="C30">
        <f>ROUND(B30*Hipotesis!$C$11,0)</f>
        <v>4025</v>
      </c>
      <c r="D30">
        <f>ROUND(C30*Hipotesis!$C$12,0)</f>
        <v>121</v>
      </c>
      <c r="E30">
        <f>ROUND(D30*Hipotesis!$C$13,0)</f>
        <v>36</v>
      </c>
      <c r="F30">
        <f>ROUND(H29*Hipotesis!$C$18,0)</f>
        <v>4</v>
      </c>
      <c r="G30">
        <f>E30-F30</f>
        <v>33</v>
      </c>
      <c r="H30">
        <f>MAX(0,H29+G30)</f>
        <v>273</v>
      </c>
      <c r="I30">
        <f>ROUND(H30*Hipotesis!$C$36,0)</f>
        <v>84347</v>
      </c>
      <c r="J30">
        <f>I30*12</f>
        <v>1012160</v>
      </c>
      <c r="K30">
        <f>ROUND(E30*Hipotesis!$C$37,0)</f>
        <v>9002</v>
      </c>
      <c r="L30">
        <f>I30+K30</f>
        <v>93349</v>
      </c>
      <c r="M30">
        <f>ROUND(H30*Hipotesis!$C$30,0)</f>
        <v>9554</v>
      </c>
      <c r="N30">
        <f>ROUND(E30*Hipotesis!$C$34,0)</f>
        <v>0</v>
      </c>
      <c r="O30">
        <f>Hipotesis!$C$33</f>
        <v>22000</v>
      </c>
      <c r="P30">
        <f>L30-M30-N30-O30</f>
        <v>61795</v>
      </c>
      <c r="Q30">
        <f>Q29+P30</f>
        <v>457189</v>
      </c>
    </row>
    <row r="31">
      <c r="A31">
        <v>27</v>
      </c>
      <c r="B31">
        <f>ROUND(B30*IF(27&lt;=Hipotesis!$C$7,Hipotesis!$C$6,Hipotesis!$C$8),0)</f>
        <v>30054</v>
      </c>
      <c r="C31">
        <f>ROUND(B31*Hipotesis!$C$11,0)</f>
        <v>4508</v>
      </c>
      <c r="D31">
        <f>ROUND(C31*Hipotesis!$C$12,0)</f>
        <v>135</v>
      </c>
      <c r="E31">
        <f>ROUND(D31*Hipotesis!$C$13,0)</f>
        <v>41</v>
      </c>
      <c r="F31">
        <f>ROUND(H30*Hipotesis!$C$18,0)</f>
        <v>4</v>
      </c>
      <c r="G31">
        <f>E31-F31</f>
        <v>36</v>
      </c>
      <c r="H31">
        <f>MAX(0,H30+G31)</f>
        <v>309</v>
      </c>
      <c r="I31">
        <f>ROUND(H31*Hipotesis!$C$36,0)</f>
        <v>95618</v>
      </c>
      <c r="J31">
        <f>I31*12</f>
        <v>1147421</v>
      </c>
      <c r="K31">
        <f>ROUND(E31*Hipotesis!$C$37,0)</f>
        <v>10082</v>
      </c>
      <c r="L31">
        <f>I31+K31</f>
        <v>105701</v>
      </c>
      <c r="M31">
        <f>ROUND(H31*Hipotesis!$C$30,0)</f>
        <v>10831</v>
      </c>
      <c r="N31">
        <f>ROUND(E31*Hipotesis!$C$34,0)</f>
        <v>0</v>
      </c>
      <c r="O31">
        <f>Hipotesis!$C$33</f>
        <v>22000</v>
      </c>
      <c r="P31">
        <f>L31-M31-N31-O31</f>
        <v>72870</v>
      </c>
      <c r="Q31">
        <f>Q30+P31</f>
        <v>530059</v>
      </c>
    </row>
    <row r="32">
      <c r="A32">
        <v>28</v>
      </c>
      <c r="B32">
        <f>ROUND(B31*IF(28&lt;=Hipotesis!$C$7,Hipotesis!$C$6,Hipotesis!$C$8),0)</f>
        <v>33660</v>
      </c>
      <c r="C32">
        <f>ROUND(B32*Hipotesis!$C$11,0)</f>
        <v>5049</v>
      </c>
      <c r="D32">
        <f>ROUND(C32*Hipotesis!$C$12,0)</f>
        <v>151</v>
      </c>
      <c r="E32">
        <f>ROUND(D32*Hipotesis!$C$13,0)</f>
        <v>45</v>
      </c>
      <c r="F32">
        <f>ROUND(H31*Hipotesis!$C$18,0)</f>
        <v>5</v>
      </c>
      <c r="G32">
        <f>E32-F32</f>
        <v>41</v>
      </c>
      <c r="H32">
        <f>MAX(0,H31+G32)</f>
        <v>350</v>
      </c>
      <c r="I32">
        <f>ROUND(H32*Hipotesis!$C$36,0)</f>
        <v>108225</v>
      </c>
      <c r="J32">
        <f>I32*12</f>
        <v>1298706</v>
      </c>
      <c r="K32">
        <f>ROUND(E32*Hipotesis!$C$37,0)</f>
        <v>11292</v>
      </c>
      <c r="L32">
        <f>I32+K32</f>
        <v>119518</v>
      </c>
      <c r="M32">
        <f>ROUND(H32*Hipotesis!$C$30,0)</f>
        <v>12259</v>
      </c>
      <c r="N32">
        <f>ROUND(E32*Hipotesis!$C$34,0)</f>
        <v>0</v>
      </c>
      <c r="O32">
        <f>Hipotesis!$C$33</f>
        <v>22000</v>
      </c>
      <c r="P32">
        <f>L32-M32-N32-O32</f>
        <v>85259</v>
      </c>
      <c r="Q32">
        <f>Q31+P32</f>
        <v>615318</v>
      </c>
    </row>
    <row r="33">
      <c r="A33">
        <v>29</v>
      </c>
      <c r="B33">
        <f>ROUND(B32*IF(29&lt;=Hipotesis!$C$7,Hipotesis!$C$6,Hipotesis!$C$8),0)</f>
        <v>37699</v>
      </c>
      <c r="C33">
        <f>ROUND(B33*Hipotesis!$C$11,0)</f>
        <v>5655</v>
      </c>
      <c r="D33">
        <f>ROUND(C33*Hipotesis!$C$12,0)</f>
        <v>170</v>
      </c>
      <c r="E33">
        <f>ROUND(D33*Hipotesis!$C$13,0)</f>
        <v>51</v>
      </c>
      <c r="F33">
        <f>ROUND(H32*Hipotesis!$C$18,0)</f>
        <v>5</v>
      </c>
      <c r="G33">
        <f>E33-F33</f>
        <v>46</v>
      </c>
      <c r="H33">
        <f>MAX(0,H32+G33)</f>
        <v>396</v>
      </c>
      <c r="I33">
        <f>ROUND(H33*Hipotesis!$C$36,0)</f>
        <v>122328</v>
      </c>
      <c r="J33">
        <f>I33*12</f>
        <v>1467941</v>
      </c>
      <c r="K33">
        <f>ROUND(E33*Hipotesis!$C$37,0)</f>
        <v>12647</v>
      </c>
      <c r="L33">
        <f>I33+K33</f>
        <v>134976</v>
      </c>
      <c r="M33">
        <f>ROUND(H33*Hipotesis!$C$30,0)</f>
        <v>13856</v>
      </c>
      <c r="N33">
        <f>ROUND(E33*Hipotesis!$C$34,0)</f>
        <v>0</v>
      </c>
      <c r="O33">
        <f>Hipotesis!$C$33</f>
        <v>22000</v>
      </c>
      <c r="P33">
        <f>L33-M33-N33-O33</f>
        <v>99120</v>
      </c>
      <c r="Q33">
        <f>Q32+P33</f>
        <v>714437</v>
      </c>
    </row>
    <row r="34">
      <c r="A34">
        <v>30</v>
      </c>
      <c r="B34">
        <f>ROUND(B33*IF(30&lt;=Hipotesis!$C$7,Hipotesis!$C$6,Hipotesis!$C$8),0)</f>
        <v>42223</v>
      </c>
      <c r="C34">
        <f>ROUND(B34*Hipotesis!$C$11,0)</f>
        <v>6333</v>
      </c>
      <c r="D34">
        <f>ROUND(C34*Hipotesis!$C$12,0)</f>
        <v>190</v>
      </c>
      <c r="E34">
        <f>ROUND(D34*Hipotesis!$C$13,0)</f>
        <v>57</v>
      </c>
      <c r="F34">
        <f>ROUND(H33*Hipotesis!$C$18,0)</f>
        <v>6</v>
      </c>
      <c r="G34">
        <f>E34-F34</f>
        <v>51</v>
      </c>
      <c r="H34">
        <f>MAX(0,H33+G34)</f>
        <v>447</v>
      </c>
      <c r="I34">
        <f>ROUND(H34*Hipotesis!$C$36,0)</f>
        <v>138107</v>
      </c>
      <c r="J34">
        <f>I34*12</f>
        <v>1657283</v>
      </c>
      <c r="K34">
        <f>ROUND(E34*Hipotesis!$C$37,0)</f>
        <v>14165</v>
      </c>
      <c r="L34">
        <f>I34+K34</f>
        <v>152272</v>
      </c>
      <c r="M34">
        <f>ROUND(H34*Hipotesis!$C$30,0)</f>
        <v>15643</v>
      </c>
      <c r="N34">
        <f>ROUND(E34*Hipotesis!$C$34,0)</f>
        <v>0</v>
      </c>
      <c r="O34">
        <f>Hipotesis!$C$33</f>
        <v>22000</v>
      </c>
      <c r="P34">
        <f>L34-M34-N34-O34</f>
        <v>114629</v>
      </c>
      <c r="Q34">
        <f>Q33+P34</f>
        <v>829066</v>
      </c>
    </row>
    <row r="35">
      <c r="A35">
        <v>31</v>
      </c>
      <c r="B35">
        <f>ROUND(B34*IF(31&lt;=Hipotesis!$C$7,Hipotesis!$C$6,Hipotesis!$C$8),0)</f>
        <v>47290</v>
      </c>
      <c r="C35">
        <f>ROUND(B35*Hipotesis!$C$11,0)</f>
        <v>7094</v>
      </c>
      <c r="D35">
        <f>ROUND(C35*Hipotesis!$C$12,0)</f>
        <v>213</v>
      </c>
      <c r="E35">
        <f>ROUND(D35*Hipotesis!$C$13,0)</f>
        <v>64</v>
      </c>
      <c r="F35">
        <f>ROUND(H34*Hipotesis!$C$18,0)</f>
        <v>7</v>
      </c>
      <c r="G35">
        <f>E35-F35</f>
        <v>57</v>
      </c>
      <c r="H35">
        <f>MAX(0,H34+G35)</f>
        <v>504</v>
      </c>
      <c r="I35">
        <f>ROUND(H35*Hipotesis!$C$36,0)</f>
        <v>155762</v>
      </c>
      <c r="J35">
        <f>I35*12</f>
        <v>1869149</v>
      </c>
      <c r="K35">
        <f>ROUND(E35*Hipotesis!$C$37,0)</f>
        <v>15865</v>
      </c>
      <c r="L35">
        <f>I35+K35</f>
        <v>171627</v>
      </c>
      <c r="M35">
        <f>ROUND(H35*Hipotesis!$C$30,0)</f>
        <v>17643</v>
      </c>
      <c r="N35">
        <f>ROUND(E35*Hipotesis!$C$34,0)</f>
        <v>0</v>
      </c>
      <c r="O35">
        <f>Hipotesis!$C$33</f>
        <v>22000</v>
      </c>
      <c r="P35">
        <f>L35-M35-N35-O35</f>
        <v>131984</v>
      </c>
      <c r="Q35">
        <f>Q34+P35</f>
        <v>961050</v>
      </c>
    </row>
    <row r="36">
      <c r="A36">
        <v>32</v>
      </c>
      <c r="B36">
        <f>ROUND(B35*IF(32&lt;=Hipotesis!$C$7,Hipotesis!$C$6,Hipotesis!$C$8),0)</f>
        <v>52965</v>
      </c>
      <c r="C36">
        <f>ROUND(B36*Hipotesis!$C$11,0)</f>
        <v>7945</v>
      </c>
      <c r="D36">
        <f>ROUND(C36*Hipotesis!$C$12,0)</f>
        <v>238</v>
      </c>
      <c r="E36">
        <f>ROUND(D36*Hipotesis!$C$13,0)</f>
        <v>72</v>
      </c>
      <c r="F36">
        <f>ROUND(H35*Hipotesis!$C$18,0)</f>
        <v>8</v>
      </c>
      <c r="G36">
        <f>E36-F36</f>
        <v>64</v>
      </c>
      <c r="H36">
        <f>MAX(0,H35+G36)</f>
        <v>568</v>
      </c>
      <c r="I36">
        <f>ROUND(H36*Hipotesis!$C$36,0)</f>
        <v>175520</v>
      </c>
      <c r="J36">
        <f>I36*12</f>
        <v>2106244</v>
      </c>
      <c r="K36">
        <f>ROUND(E36*Hipotesis!$C$37,0)</f>
        <v>17768</v>
      </c>
      <c r="L36">
        <f>I36+K36</f>
        <v>193289</v>
      </c>
      <c r="M36">
        <f>ROUND(H36*Hipotesis!$C$30,0)</f>
        <v>19881</v>
      </c>
      <c r="N36">
        <f>ROUND(E36*Hipotesis!$C$34,0)</f>
        <v>0</v>
      </c>
      <c r="O36">
        <f>Hipotesis!$C$33</f>
        <v>22000</v>
      </c>
      <c r="P36">
        <f>L36-M36-N36-O36</f>
        <v>151408</v>
      </c>
      <c r="Q36">
        <f>Q35+P36</f>
        <v>1112458</v>
      </c>
    </row>
    <row r="37">
      <c r="A37">
        <v>33</v>
      </c>
      <c r="B37">
        <f>ROUND(B36*IF(33&lt;=Hipotesis!$C$7,Hipotesis!$C$6,Hipotesis!$C$8),0)</f>
        <v>59321</v>
      </c>
      <c r="C37">
        <f>ROUND(B37*Hipotesis!$C$11,0)</f>
        <v>8898</v>
      </c>
      <c r="D37">
        <f>ROUND(C37*Hipotesis!$C$12,0)</f>
        <v>267</v>
      </c>
      <c r="E37">
        <f>ROUND(D37*Hipotesis!$C$13,0)</f>
        <v>80</v>
      </c>
      <c r="F37">
        <f>ROUND(H36*Hipotesis!$C$18,0)</f>
        <v>9</v>
      </c>
      <c r="G37">
        <f>E37-F37</f>
        <v>72</v>
      </c>
      <c r="H37">
        <f>MAX(0,H36+G37)</f>
        <v>640</v>
      </c>
      <c r="I37">
        <f>ROUND(H37*Hipotesis!$C$36,0)</f>
        <v>197633</v>
      </c>
      <c r="J37">
        <f>I37*12</f>
        <v>2371598</v>
      </c>
      <c r="K37">
        <f>ROUND(E37*Hipotesis!$C$37,0)</f>
        <v>19901</v>
      </c>
      <c r="L37">
        <f>I37+K37</f>
        <v>217534</v>
      </c>
      <c r="M37">
        <f>ROUND(H37*Hipotesis!$C$30,0)</f>
        <v>22386</v>
      </c>
      <c r="N37">
        <f>ROUND(E37*Hipotesis!$C$34,0)</f>
        <v>0</v>
      </c>
      <c r="O37">
        <f>Hipotesis!$C$33</f>
        <v>22000</v>
      </c>
      <c r="P37">
        <f>L37-M37-N37-O37</f>
        <v>173148</v>
      </c>
      <c r="Q37">
        <f>Q36+P37</f>
        <v>1285606</v>
      </c>
    </row>
    <row r="38">
      <c r="A38">
        <v>34</v>
      </c>
      <c r="B38">
        <f>ROUND(B37*IF(34&lt;=Hipotesis!$C$7,Hipotesis!$C$6,Hipotesis!$C$8),0)</f>
        <v>66439</v>
      </c>
      <c r="C38">
        <f>ROUND(B38*Hipotesis!$C$11,0)</f>
        <v>9966</v>
      </c>
      <c r="D38">
        <f>ROUND(C38*Hipotesis!$C$12,0)</f>
        <v>299</v>
      </c>
      <c r="E38">
        <f>ROUND(D38*Hipotesis!$C$13,0)</f>
        <v>90</v>
      </c>
      <c r="F38">
        <f>ROUND(H37*Hipotesis!$C$18,0)</f>
        <v>10</v>
      </c>
      <c r="G38">
        <f>E38-F38</f>
        <v>80</v>
      </c>
      <c r="H38">
        <f>MAX(0,H37+G38)</f>
        <v>720</v>
      </c>
      <c r="I38">
        <f>ROUND(H38*Hipotesis!$C$36,0)</f>
        <v>222384</v>
      </c>
      <c r="J38">
        <f>I38*12</f>
        <v>2668605</v>
      </c>
      <c r="K38">
        <f>ROUND(E38*Hipotesis!$C$37,0)</f>
        <v>22289</v>
      </c>
      <c r="L38">
        <f>I38+K38</f>
        <v>244672</v>
      </c>
      <c r="M38">
        <f>ROUND(H38*Hipotesis!$C$30,0)</f>
        <v>25189</v>
      </c>
      <c r="N38">
        <f>ROUND(E38*Hipotesis!$C$34,0)</f>
        <v>0</v>
      </c>
      <c r="O38">
        <f>Hipotesis!$C$33</f>
        <v>22000</v>
      </c>
      <c r="P38">
        <f>L38-M38-N38-O38</f>
        <v>197483</v>
      </c>
      <c r="Q38">
        <f>Q37+P38</f>
        <v>1483089</v>
      </c>
    </row>
    <row r="39">
      <c r="A39">
        <v>35</v>
      </c>
      <c r="B39">
        <f>ROUND(B38*IF(35&lt;=Hipotesis!$C$7,Hipotesis!$C$6,Hipotesis!$C$8),0)</f>
        <v>74412</v>
      </c>
      <c r="C39">
        <f>ROUND(B39*Hipotesis!$C$11,0)</f>
        <v>11162</v>
      </c>
      <c r="D39">
        <f>ROUND(C39*Hipotesis!$C$12,0)</f>
        <v>335</v>
      </c>
      <c r="E39">
        <f>ROUND(D39*Hipotesis!$C$13,0)</f>
        <v>100</v>
      </c>
      <c r="F39">
        <f>ROUND(H38*Hipotesis!$C$18,0)</f>
        <v>11</v>
      </c>
      <c r="G39">
        <f>E39-F39</f>
        <v>90</v>
      </c>
      <c r="H39">
        <f>MAX(0,H38+G39)</f>
        <v>809</v>
      </c>
      <c r="I39">
        <f>ROUND(H39*Hipotesis!$C$36,0)</f>
        <v>250089</v>
      </c>
      <c r="J39">
        <f>I39*12</f>
        <v>3001067</v>
      </c>
      <c r="K39">
        <f>ROUND(E39*Hipotesis!$C$37,0)</f>
        <v>24963</v>
      </c>
      <c r="L39">
        <f>I39+K39</f>
        <v>275052</v>
      </c>
      <c r="M39">
        <f>ROUND(H39*Hipotesis!$C$30,0)</f>
        <v>28327</v>
      </c>
      <c r="N39">
        <f>ROUND(E39*Hipotesis!$C$34,0)</f>
        <v>0</v>
      </c>
      <c r="O39">
        <f>Hipotesis!$C$33</f>
        <v>22000</v>
      </c>
      <c r="P39">
        <f>L39-M39-N39-O39</f>
        <v>224725</v>
      </c>
      <c r="Q39">
        <f>Q38+P39</f>
        <v>1707815</v>
      </c>
    </row>
    <row r="40">
      <c r="A40">
        <v>36</v>
      </c>
      <c r="B40">
        <f>ROUND(B39*IF(36&lt;=Hipotesis!$C$7,Hipotesis!$C$6,Hipotesis!$C$8),0)</f>
        <v>83341</v>
      </c>
      <c r="C40">
        <f>ROUND(B40*Hipotesis!$C$11,0)</f>
        <v>12501</v>
      </c>
      <c r="D40">
        <f>ROUND(C40*Hipotesis!$C$12,0)</f>
        <v>375</v>
      </c>
      <c r="E40">
        <f>ROUND(D40*Hipotesis!$C$13,0)</f>
        <v>113</v>
      </c>
      <c r="F40">
        <f>ROUND(H39*Hipotesis!$C$18,0)</f>
        <v>12</v>
      </c>
      <c r="G40">
        <f>E40-F40</f>
        <v>100</v>
      </c>
      <c r="H40">
        <f>MAX(0,H39+G40)</f>
        <v>910</v>
      </c>
      <c r="I40">
        <f>ROUND(H40*Hipotesis!$C$36,0)</f>
        <v>281103</v>
      </c>
      <c r="J40">
        <f>I40*12</f>
        <v>3373242</v>
      </c>
      <c r="K40">
        <f>ROUND(E40*Hipotesis!$C$37,0)</f>
        <v>27959</v>
      </c>
      <c r="L40">
        <f>I40+K40</f>
        <v>309062</v>
      </c>
      <c r="M40">
        <f>ROUND(H40*Hipotesis!$C$30,0)</f>
        <v>31840</v>
      </c>
      <c r="N40">
        <f>ROUND(E40*Hipotesis!$C$34,0)</f>
        <v>0</v>
      </c>
      <c r="O40">
        <f>Hipotesis!$C$33</f>
        <v>22000</v>
      </c>
      <c r="P40">
        <f>L40-M40-N40-O40</f>
        <v>255222</v>
      </c>
      <c r="Q40">
        <f>Q39+P40</f>
        <v>1963037</v>
      </c>
    </row>
  </sheetData>
  <ignoredErrors>
    <ignoredError numberStoredAsText="1" sqref="A1:Q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36.83203125" customWidth="1"/>
    <col min="2" max="2" width="14.83203125" customWidth="1"/>
    <col min="3" max="3" width="14.83203125" customWidth="1"/>
    <col min="4" max="4" width="16.83203125" customWidth="1"/>
    <col min="5" max="5" width="18.83203125" customWidth="1"/>
    <col min="6" max="6" width="18.83203125" customWidth="1"/>
    <col min="7" max="7" width="12.83203125" customWidth="1"/>
    <col min="8" max="8" width="16.83203125" customWidth="1"/>
    <col min="9" max="9" width="14.83203125" customWidth="1"/>
    <col min="10" max="10" width="14.83203125" customWidth="1"/>
  </cols>
  <sheetData>
    <row r="1">
      <c r="A1" t="str">
        <v>RESUMEN ANUAL</v>
      </c>
    </row>
    <row r="2">
      <c r="A2" t="str">
        <v>Calculado a partir de la Proyeccion Mensual (Revenue = MRR + Setup)</v>
      </c>
    </row>
    <row r="4">
      <c r="A4" t="str">
        <v>Anyo</v>
      </c>
      <c r="B4" t="str">
        <v>Clientes fin</v>
      </c>
      <c r="C4" t="str">
        <v>MRR fin (EUR)</v>
      </c>
      <c r="D4" t="str">
        <v>ARR fin (EUR)</v>
      </c>
      <c r="E4" t="str">
        <v>Revenue total (EUR)</v>
      </c>
      <c r="F4" t="str">
        <v>Coste var (EUR)</v>
      </c>
      <c r="G4" t="str">
        <v>CAC (EUR)</v>
      </c>
      <c r="H4" t="str">
        <v>OPEX fijo (EUR)</v>
      </c>
      <c r="I4" t="str">
        <v>EBITDA (EUR)</v>
      </c>
      <c r="J4" t="str">
        <v>Margen EBITDA</v>
      </c>
    </row>
    <row r="5">
      <c r="A5">
        <v>1</v>
      </c>
      <c r="B5">
        <f>Proyeccion!H16</f>
        <v>34</v>
      </c>
      <c r="C5">
        <f>Proyeccion!I16</f>
        <v>10503</v>
      </c>
      <c r="D5">
        <f>Proyeccion!J16</f>
        <v>126038</v>
      </c>
      <c r="E5">
        <f>SUM(Proyeccion!L5:L16)</f>
        <v>48575</v>
      </c>
      <c r="F5">
        <f>SUM(Proyeccion!M5:M16)</f>
        <v>4479</v>
      </c>
      <c r="G5">
        <f>SUM(Proyeccion!N5:N16)</f>
        <v>0</v>
      </c>
      <c r="H5">
        <f>SUM(Proyeccion!O5:O16)</f>
        <v>14400</v>
      </c>
      <c r="I5">
        <f>E5-F5-G5-H5</f>
        <v>29696</v>
      </c>
      <c r="J5">
        <f>IF(E5=0,0,I5/E5)</f>
        <v>0.61</v>
      </c>
    </row>
    <row r="6">
      <c r="A6">
        <v>2</v>
      </c>
      <c r="B6">
        <f>Proyeccion!H28</f>
        <v>211</v>
      </c>
      <c r="C6">
        <f>Proyeccion!I28</f>
        <v>65251</v>
      </c>
      <c r="D6">
        <f>Proyeccion!J28</f>
        <v>783017</v>
      </c>
      <c r="E6">
        <f>SUM(Proyeccion!L17:L28)</f>
        <v>462563</v>
      </c>
      <c r="F6">
        <f>SUM(Proyeccion!M17:M28)</f>
        <v>46753</v>
      </c>
      <c r="G6">
        <f>SUM(Proyeccion!N17:N28)</f>
        <v>0</v>
      </c>
      <c r="H6">
        <f>SUM(Proyeccion!O17:O28)</f>
        <v>102000</v>
      </c>
      <c r="I6">
        <f>E6-F6-G6-H6</f>
        <v>313810</v>
      </c>
      <c r="J6">
        <f>IF(E6=0,0,I6/E6)</f>
        <v>0.68</v>
      </c>
    </row>
    <row r="7">
      <c r="A7">
        <v>3</v>
      </c>
      <c r="B7">
        <f>Proyeccion!H40</f>
        <v>910</v>
      </c>
      <c r="C7">
        <f>Proyeccion!I40</f>
        <v>281103</v>
      </c>
      <c r="D7">
        <f>Proyeccion!J40</f>
        <v>3373242</v>
      </c>
      <c r="E7">
        <f>SUM(Proyeccion!L29:L40)</f>
        <v>2099357</v>
      </c>
      <c r="F7">
        <f>SUM(Proyeccion!M29:M40)</f>
        <v>215821</v>
      </c>
      <c r="G7">
        <f>SUM(Proyeccion!N29:N40)</f>
        <v>0</v>
      </c>
      <c r="H7">
        <f>SUM(Proyeccion!O29:O40)</f>
        <v>264000</v>
      </c>
      <c r="I7">
        <f>E7-F7-G7-H7</f>
        <v>1619536</v>
      </c>
      <c r="J7">
        <f>IF(E7=0,0,I7/E7)</f>
        <v>0.77</v>
      </c>
    </row>
    <row r="10">
      <c r="A10" t="str">
        <v>BREAK-EVEN</v>
      </c>
    </row>
    <row r="11">
      <c r="A11" t="str">
        <v>Mes en que cash acumulado &gt;= 0</v>
      </c>
      <c r="C11">
        <f>MATCH(TRUE,Proyeccion!Q5:Q40&gt;=0,0)</f>
        <v>8</v>
      </c>
    </row>
    <row r="12">
      <c r="A12" t="str">
        <v>Capital inicial necesario (EUR)</v>
      </c>
      <c r="C12">
        <f>ABS(MIN(0,MIN(Proyeccion!Q5:Q40)))</f>
        <v>3201</v>
      </c>
    </row>
  </sheetData>
  <ignoredErrors>
    <ignoredError numberStoredAsText="1" sqref="A1:J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12.83203125" customWidth="1"/>
    <col min="5" max="5" width="14.83203125" customWidth="1"/>
    <col min="6" max="6" width="22.83203125" customWidth="1"/>
    <col min="7" max="7" width="18.83203125" customWidth="1"/>
  </cols>
  <sheetData>
    <row r="1">
      <c r="A1" t="str">
        <v>CASH FLOW MENSUAL</v>
      </c>
    </row>
    <row r="2">
      <c r="A2" t="str">
        <v>Ingresos (MRR + Setup), costes (variable + CAC + OPEX) y posicion de tesoreria</v>
      </c>
    </row>
    <row r="4">
      <c r="A4" t="str">
        <v>Mes</v>
      </c>
      <c r="B4" t="str">
        <v>Revenue total (EUR)</v>
      </c>
      <c r="C4" t="str">
        <v>Coste variable (EUR)</v>
      </c>
      <c r="D4" t="str">
        <v>CAC (EUR)</v>
      </c>
      <c r="E4" t="str">
        <v>OPEX fijo (EUR)</v>
      </c>
      <c r="F4" t="str">
        <v>Cash flow del mes (EUR)</v>
      </c>
      <c r="G4" t="str">
        <v>Cash acumulado (EUR)</v>
      </c>
    </row>
    <row r="5">
      <c r="A5">
        <v>1</v>
      </c>
      <c r="B5">
        <f>Proyeccion!L5</f>
        <v>151</v>
      </c>
      <c r="C5">
        <f>Proyeccion!M5</f>
        <v>9</v>
      </c>
      <c r="D5">
        <f>Proyeccion!N5</f>
        <v>0</v>
      </c>
      <c r="E5">
        <f>Proyeccion!O5</f>
        <v>1200</v>
      </c>
      <c r="F5">
        <f>B5-C5-D5-E5</f>
        <v>-1059</v>
      </c>
      <c r="G5">
        <f>Proyeccion!Q5</f>
        <v>-1059</v>
      </c>
    </row>
    <row r="6">
      <c r="A6">
        <v>2</v>
      </c>
      <c r="B6">
        <f>Proyeccion!L6</f>
        <v>300</v>
      </c>
      <c r="C6">
        <f>Proyeccion!M6</f>
        <v>23</v>
      </c>
      <c r="D6">
        <f>Proyeccion!N6</f>
        <v>0</v>
      </c>
      <c r="E6">
        <f>Proyeccion!O6</f>
        <v>1200</v>
      </c>
      <c r="F6">
        <f>B6-C6-D6-E6</f>
        <v>-923</v>
      </c>
      <c r="G6">
        <f>Proyeccion!Q6</f>
        <v>-1982</v>
      </c>
    </row>
    <row r="7">
      <c r="A7">
        <v>3</v>
      </c>
      <c r="B7">
        <f>Proyeccion!L7</f>
        <v>514</v>
      </c>
      <c r="C7">
        <f>Proyeccion!M7</f>
        <v>42</v>
      </c>
      <c r="D7">
        <f>Proyeccion!N7</f>
        <v>0</v>
      </c>
      <c r="E7">
        <f>Proyeccion!O7</f>
        <v>1200</v>
      </c>
      <c r="F7">
        <f>B7-C7-D7-E7</f>
        <v>-728</v>
      </c>
      <c r="G7">
        <f>Proyeccion!Q7</f>
        <v>-2711</v>
      </c>
    </row>
    <row r="8">
      <c r="A8">
        <v>4</v>
      </c>
      <c r="B8">
        <f>Proyeccion!L8</f>
        <v>822</v>
      </c>
      <c r="C8">
        <f>Proyeccion!M8</f>
        <v>70</v>
      </c>
      <c r="D8">
        <f>Proyeccion!N8</f>
        <v>0</v>
      </c>
      <c r="E8">
        <f>Proyeccion!O8</f>
        <v>1200</v>
      </c>
      <c r="F8">
        <f>B8-C8-D8-E8</f>
        <v>-448</v>
      </c>
      <c r="G8">
        <f>Proyeccion!Q8</f>
        <v>-3158</v>
      </c>
    </row>
    <row r="9">
      <c r="A9">
        <v>5</v>
      </c>
      <c r="B9">
        <f>Proyeccion!L9</f>
        <v>1268</v>
      </c>
      <c r="C9">
        <f>Proyeccion!M9</f>
        <v>110</v>
      </c>
      <c r="D9">
        <f>Proyeccion!N9</f>
        <v>0</v>
      </c>
      <c r="E9">
        <f>Proyeccion!O9</f>
        <v>1200</v>
      </c>
      <c r="F9">
        <f>B9-C9-D9-E9</f>
        <v>-42</v>
      </c>
      <c r="G9">
        <f>Proyeccion!Q9</f>
        <v>-3201</v>
      </c>
    </row>
    <row r="10">
      <c r="A10">
        <v>6</v>
      </c>
      <c r="B10">
        <f>Proyeccion!L10</f>
        <v>1912</v>
      </c>
      <c r="C10">
        <f>Proyeccion!M10</f>
        <v>168</v>
      </c>
      <c r="D10">
        <f>Proyeccion!N10</f>
        <v>0</v>
      </c>
      <c r="E10">
        <f>Proyeccion!O10</f>
        <v>1200</v>
      </c>
      <c r="F10">
        <f>B10-C10-D10-E10</f>
        <v>544</v>
      </c>
      <c r="G10">
        <f>Proyeccion!Q10</f>
        <v>-2657</v>
      </c>
    </row>
    <row r="11">
      <c r="A11">
        <v>7</v>
      </c>
      <c r="B11">
        <f>Proyeccion!L11</f>
        <v>2844</v>
      </c>
      <c r="C11">
        <f>Proyeccion!M11</f>
        <v>251</v>
      </c>
      <c r="D11">
        <f>Proyeccion!N11</f>
        <v>0</v>
      </c>
      <c r="E11">
        <f>Proyeccion!O11</f>
        <v>1200</v>
      </c>
      <c r="F11">
        <f>B11-C11-D11-E11</f>
        <v>1392</v>
      </c>
      <c r="G11">
        <f>Proyeccion!Q11</f>
        <v>-1265</v>
      </c>
    </row>
    <row r="12">
      <c r="A12">
        <v>8</v>
      </c>
      <c r="B12">
        <f>Proyeccion!L12</f>
        <v>4193</v>
      </c>
      <c r="C12">
        <f>Proyeccion!M12</f>
        <v>373</v>
      </c>
      <c r="D12">
        <f>Proyeccion!N12</f>
        <v>0</v>
      </c>
      <c r="E12">
        <f>Proyeccion!O12</f>
        <v>1200</v>
      </c>
      <c r="F12">
        <f>B12-C12-D12-E12</f>
        <v>2620</v>
      </c>
      <c r="G12">
        <f>Proyeccion!Q12</f>
        <v>1356</v>
      </c>
    </row>
    <row r="13">
      <c r="A13">
        <v>9</v>
      </c>
      <c r="B13">
        <f>Proyeccion!L13</f>
        <v>6148</v>
      </c>
      <c r="C13">
        <f>Proyeccion!M13</f>
        <v>548</v>
      </c>
      <c r="D13">
        <f>Proyeccion!N13</f>
        <v>0</v>
      </c>
      <c r="E13">
        <f>Proyeccion!O13</f>
        <v>1200</v>
      </c>
      <c r="F13">
        <f>B13-C13-D13-E13</f>
        <v>4400</v>
      </c>
      <c r="G13">
        <f>Proyeccion!Q13</f>
        <v>5756</v>
      </c>
    </row>
    <row r="14">
      <c r="A14">
        <v>10</v>
      </c>
      <c r="B14">
        <f>Proyeccion!L14</f>
        <v>8010</v>
      </c>
      <c r="C14">
        <f>Proyeccion!M14</f>
        <v>741</v>
      </c>
      <c r="D14">
        <f>Proyeccion!N14</f>
        <v>0</v>
      </c>
      <c r="E14">
        <f>Proyeccion!O14</f>
        <v>1200</v>
      </c>
      <c r="F14">
        <f>B14-C14-D14-E14</f>
        <v>6069</v>
      </c>
      <c r="G14">
        <f>Proyeccion!Q14</f>
        <v>11825</v>
      </c>
    </row>
    <row r="15">
      <c r="A15">
        <v>11</v>
      </c>
      <c r="B15">
        <f>Proyeccion!L15</f>
        <v>10068</v>
      </c>
      <c r="C15">
        <f>Proyeccion!M15</f>
        <v>954</v>
      </c>
      <c r="D15">
        <f>Proyeccion!N15</f>
        <v>0</v>
      </c>
      <c r="E15">
        <f>Proyeccion!O15</f>
        <v>1200</v>
      </c>
      <c r="F15">
        <f>B15-C15-D15-E15</f>
        <v>7914</v>
      </c>
      <c r="G15">
        <f>Proyeccion!Q15</f>
        <v>19739</v>
      </c>
    </row>
    <row r="16">
      <c r="A16">
        <v>12</v>
      </c>
      <c r="B16">
        <f>Proyeccion!L16</f>
        <v>12345</v>
      </c>
      <c r="C16">
        <f>Proyeccion!M16</f>
        <v>1190</v>
      </c>
      <c r="D16">
        <f>Proyeccion!N16</f>
        <v>0</v>
      </c>
      <c r="E16">
        <f>Proyeccion!O16</f>
        <v>1200</v>
      </c>
      <c r="F16">
        <f>B16-C16-D16-E16</f>
        <v>9956</v>
      </c>
      <c r="G16">
        <f>Proyeccion!Q16</f>
        <v>29694</v>
      </c>
    </row>
    <row r="17">
      <c r="A17">
        <v>13</v>
      </c>
      <c r="B17">
        <f>Proyeccion!L17</f>
        <v>14921</v>
      </c>
      <c r="C17">
        <f>Proyeccion!M17</f>
        <v>1456</v>
      </c>
      <c r="D17">
        <f>Proyeccion!N17</f>
        <v>0</v>
      </c>
      <c r="E17">
        <f>Proyeccion!O17</f>
        <v>8500</v>
      </c>
      <c r="F17">
        <f>B17-C17-D17-E17</f>
        <v>4965</v>
      </c>
      <c r="G17">
        <f>Proyeccion!Q17</f>
        <v>34659</v>
      </c>
    </row>
    <row r="18">
      <c r="A18">
        <v>14</v>
      </c>
      <c r="B18">
        <f>Proyeccion!L18</f>
        <v>17785</v>
      </c>
      <c r="C18">
        <f>Proyeccion!M18</f>
        <v>1753</v>
      </c>
      <c r="D18">
        <f>Proyeccion!N18</f>
        <v>0</v>
      </c>
      <c r="E18">
        <f>Proyeccion!O18</f>
        <v>8500</v>
      </c>
      <c r="F18">
        <f>B18-C18-D18-E18</f>
        <v>7532</v>
      </c>
      <c r="G18">
        <f>Proyeccion!Q18</f>
        <v>42192</v>
      </c>
    </row>
    <row r="19">
      <c r="A19">
        <v>15</v>
      </c>
      <c r="B19">
        <f>Proyeccion!L19</f>
        <v>20971</v>
      </c>
      <c r="C19">
        <f>Proyeccion!M19</f>
        <v>2082</v>
      </c>
      <c r="D19">
        <f>Proyeccion!N19</f>
        <v>0</v>
      </c>
      <c r="E19">
        <f>Proyeccion!O19</f>
        <v>8500</v>
      </c>
      <c r="F19">
        <f>B19-C19-D19-E19</f>
        <v>10389</v>
      </c>
      <c r="G19">
        <f>Proyeccion!Q19</f>
        <v>52580</v>
      </c>
    </row>
    <row r="20">
      <c r="A20">
        <v>16</v>
      </c>
      <c r="B20">
        <f>Proyeccion!L20</f>
        <v>24518</v>
      </c>
      <c r="C20">
        <f>Proyeccion!M20</f>
        <v>2449</v>
      </c>
      <c r="D20">
        <f>Proyeccion!N20</f>
        <v>0</v>
      </c>
      <c r="E20">
        <f>Proyeccion!O20</f>
        <v>8500</v>
      </c>
      <c r="F20">
        <f>B20-C20-D20-E20</f>
        <v>13569</v>
      </c>
      <c r="G20">
        <f>Proyeccion!Q20</f>
        <v>66149</v>
      </c>
    </row>
    <row r="21">
      <c r="A21">
        <v>17</v>
      </c>
      <c r="B21">
        <f>Proyeccion!L21</f>
        <v>28470</v>
      </c>
      <c r="C21">
        <f>Proyeccion!M21</f>
        <v>2857</v>
      </c>
      <c r="D21">
        <f>Proyeccion!N21</f>
        <v>0</v>
      </c>
      <c r="E21">
        <f>Proyeccion!O21</f>
        <v>8500</v>
      </c>
      <c r="F21">
        <f>B21-C21-D21-E21</f>
        <v>17113</v>
      </c>
      <c r="G21">
        <f>Proyeccion!Q21</f>
        <v>83262</v>
      </c>
    </row>
    <row r="22">
      <c r="A22">
        <v>18</v>
      </c>
      <c r="B22">
        <f>Proyeccion!L22</f>
        <v>32876</v>
      </c>
      <c r="C22">
        <f>Proyeccion!M22</f>
        <v>3312</v>
      </c>
      <c r="D22">
        <f>Proyeccion!N22</f>
        <v>0</v>
      </c>
      <c r="E22">
        <f>Proyeccion!O22</f>
        <v>8500</v>
      </c>
      <c r="F22">
        <f>B22-C22-D22-E22</f>
        <v>21064</v>
      </c>
      <c r="G22">
        <f>Proyeccion!Q22</f>
        <v>104325</v>
      </c>
    </row>
    <row r="23">
      <c r="A23">
        <v>19</v>
      </c>
      <c r="B23">
        <f>Proyeccion!L23</f>
        <v>37791</v>
      </c>
      <c r="C23">
        <f>Proyeccion!M23</f>
        <v>3819</v>
      </c>
      <c r="D23">
        <f>Proyeccion!N23</f>
        <v>0</v>
      </c>
      <c r="E23">
        <f>Proyeccion!O23</f>
        <v>8500</v>
      </c>
      <c r="F23">
        <f>B23-C23-D23-E23</f>
        <v>25471</v>
      </c>
      <c r="G23">
        <f>Proyeccion!Q23</f>
        <v>129797</v>
      </c>
    </row>
    <row r="24">
      <c r="A24">
        <v>20</v>
      </c>
      <c r="B24">
        <f>Proyeccion!L24</f>
        <v>43276</v>
      </c>
      <c r="C24">
        <f>Proyeccion!M24</f>
        <v>4385</v>
      </c>
      <c r="D24">
        <f>Proyeccion!N24</f>
        <v>0</v>
      </c>
      <c r="E24">
        <f>Proyeccion!O24</f>
        <v>8500</v>
      </c>
      <c r="F24">
        <f>B24-C24-D24-E24</f>
        <v>30391</v>
      </c>
      <c r="G24">
        <f>Proyeccion!Q24</f>
        <v>160187</v>
      </c>
    </row>
    <row r="25">
      <c r="A25">
        <v>21</v>
      </c>
      <c r="B25">
        <f>Proyeccion!L25</f>
        <v>49401</v>
      </c>
      <c r="C25">
        <f>Proyeccion!M25</f>
        <v>5017</v>
      </c>
      <c r="D25">
        <f>Proyeccion!N25</f>
        <v>0</v>
      </c>
      <c r="E25">
        <f>Proyeccion!O25</f>
        <v>8500</v>
      </c>
      <c r="F25">
        <f>B25-C25-D25-E25</f>
        <v>35884</v>
      </c>
      <c r="G25">
        <f>Proyeccion!Q25</f>
        <v>196071</v>
      </c>
    </row>
    <row r="26">
      <c r="A26">
        <v>22</v>
      </c>
      <c r="B26">
        <f>Proyeccion!L26</f>
        <v>56241</v>
      </c>
      <c r="C26">
        <f>Proyeccion!M26</f>
        <v>5722</v>
      </c>
      <c r="D26">
        <f>Proyeccion!N26</f>
        <v>0</v>
      </c>
      <c r="E26">
        <f>Proyeccion!O26</f>
        <v>8500</v>
      </c>
      <c r="F26">
        <f>B26-C26-D26-E26</f>
        <v>42019</v>
      </c>
      <c r="G26">
        <f>Proyeccion!Q26</f>
        <v>238090</v>
      </c>
    </row>
    <row r="27">
      <c r="A27">
        <v>23</v>
      </c>
      <c r="B27">
        <f>Proyeccion!L27</f>
        <v>63885</v>
      </c>
      <c r="C27">
        <f>Proyeccion!M27</f>
        <v>6510</v>
      </c>
      <c r="D27">
        <f>Proyeccion!N27</f>
        <v>0</v>
      </c>
      <c r="E27">
        <f>Proyeccion!O27</f>
        <v>8500</v>
      </c>
      <c r="F27">
        <f>B27-C27-D27-E27</f>
        <v>48875</v>
      </c>
      <c r="G27">
        <f>Proyeccion!Q27</f>
        <v>286964</v>
      </c>
    </row>
    <row r="28">
      <c r="A28">
        <v>24</v>
      </c>
      <c r="B28">
        <f>Proyeccion!L28</f>
        <v>72428</v>
      </c>
      <c r="C28">
        <f>Proyeccion!M28</f>
        <v>7391</v>
      </c>
      <c r="D28">
        <f>Proyeccion!N28</f>
        <v>0</v>
      </c>
      <c r="E28">
        <f>Proyeccion!O28</f>
        <v>8500</v>
      </c>
      <c r="F28">
        <f>B28-C28-D28-E28</f>
        <v>56537</v>
      </c>
      <c r="G28">
        <f>Proyeccion!Q28</f>
        <v>343501</v>
      </c>
    </row>
    <row r="29">
      <c r="A29">
        <v>25</v>
      </c>
      <c r="B29">
        <f>Proyeccion!L29</f>
        <v>82305</v>
      </c>
      <c r="C29">
        <f>Proyeccion!M29</f>
        <v>8412</v>
      </c>
      <c r="D29">
        <f>Proyeccion!N29</f>
        <v>0</v>
      </c>
      <c r="E29">
        <f>Proyeccion!O29</f>
        <v>22000</v>
      </c>
      <c r="F29">
        <f>B29-C29-D29-E29</f>
        <v>51892</v>
      </c>
      <c r="G29">
        <f>Proyeccion!Q29</f>
        <v>395394</v>
      </c>
    </row>
    <row r="30">
      <c r="A30">
        <v>26</v>
      </c>
      <c r="B30">
        <f>Proyeccion!L30</f>
        <v>93349</v>
      </c>
      <c r="C30">
        <f>Proyeccion!M30</f>
        <v>9554</v>
      </c>
      <c r="D30">
        <f>Proyeccion!N30</f>
        <v>0</v>
      </c>
      <c r="E30">
        <f>Proyeccion!O30</f>
        <v>22000</v>
      </c>
      <c r="F30">
        <f>B30-C30-D30-E30</f>
        <v>61795</v>
      </c>
      <c r="G30">
        <f>Proyeccion!Q30</f>
        <v>457189</v>
      </c>
    </row>
    <row r="31">
      <c r="A31">
        <v>27</v>
      </c>
      <c r="B31">
        <f>Proyeccion!L31</f>
        <v>105701</v>
      </c>
      <c r="C31">
        <f>Proyeccion!M31</f>
        <v>10831</v>
      </c>
      <c r="D31">
        <f>Proyeccion!N31</f>
        <v>0</v>
      </c>
      <c r="E31">
        <f>Proyeccion!O31</f>
        <v>22000</v>
      </c>
      <c r="F31">
        <f>B31-C31-D31-E31</f>
        <v>72870</v>
      </c>
      <c r="G31">
        <f>Proyeccion!Q31</f>
        <v>530059</v>
      </c>
    </row>
    <row r="32">
      <c r="A32">
        <v>28</v>
      </c>
      <c r="B32">
        <f>Proyeccion!L32</f>
        <v>119518</v>
      </c>
      <c r="C32">
        <f>Proyeccion!M32</f>
        <v>12259</v>
      </c>
      <c r="D32">
        <f>Proyeccion!N32</f>
        <v>0</v>
      </c>
      <c r="E32">
        <f>Proyeccion!O32</f>
        <v>22000</v>
      </c>
      <c r="F32">
        <f>B32-C32-D32-E32</f>
        <v>85259</v>
      </c>
      <c r="G32">
        <f>Proyeccion!Q32</f>
        <v>615318</v>
      </c>
    </row>
    <row r="33">
      <c r="A33">
        <v>29</v>
      </c>
      <c r="B33">
        <f>Proyeccion!L33</f>
        <v>134976</v>
      </c>
      <c r="C33">
        <f>Proyeccion!M33</f>
        <v>13856</v>
      </c>
      <c r="D33">
        <f>Proyeccion!N33</f>
        <v>0</v>
      </c>
      <c r="E33">
        <f>Proyeccion!O33</f>
        <v>22000</v>
      </c>
      <c r="F33">
        <f>B33-C33-D33-E33</f>
        <v>99120</v>
      </c>
      <c r="G33">
        <f>Proyeccion!Q33</f>
        <v>714437</v>
      </c>
    </row>
    <row r="34">
      <c r="A34">
        <v>30</v>
      </c>
      <c r="B34">
        <f>Proyeccion!L34</f>
        <v>152272</v>
      </c>
      <c r="C34">
        <f>Proyeccion!M34</f>
        <v>15643</v>
      </c>
      <c r="D34">
        <f>Proyeccion!N34</f>
        <v>0</v>
      </c>
      <c r="E34">
        <f>Proyeccion!O34</f>
        <v>22000</v>
      </c>
      <c r="F34">
        <f>B34-C34-D34-E34</f>
        <v>114629</v>
      </c>
      <c r="G34">
        <f>Proyeccion!Q34</f>
        <v>829066</v>
      </c>
    </row>
    <row r="35">
      <c r="A35">
        <v>31</v>
      </c>
      <c r="B35">
        <f>Proyeccion!L35</f>
        <v>171627</v>
      </c>
      <c r="C35">
        <f>Proyeccion!M35</f>
        <v>17643</v>
      </c>
      <c r="D35">
        <f>Proyeccion!N35</f>
        <v>0</v>
      </c>
      <c r="E35">
        <f>Proyeccion!O35</f>
        <v>22000</v>
      </c>
      <c r="F35">
        <f>B35-C35-D35-E35</f>
        <v>131984</v>
      </c>
      <c r="G35">
        <f>Proyeccion!Q35</f>
        <v>961050</v>
      </c>
    </row>
    <row r="36">
      <c r="A36">
        <v>32</v>
      </c>
      <c r="B36">
        <f>Proyeccion!L36</f>
        <v>193289</v>
      </c>
      <c r="C36">
        <f>Proyeccion!M36</f>
        <v>19881</v>
      </c>
      <c r="D36">
        <f>Proyeccion!N36</f>
        <v>0</v>
      </c>
      <c r="E36">
        <f>Proyeccion!O36</f>
        <v>22000</v>
      </c>
      <c r="F36">
        <f>B36-C36-D36-E36</f>
        <v>151408</v>
      </c>
      <c r="G36">
        <f>Proyeccion!Q36</f>
        <v>1112458</v>
      </c>
    </row>
    <row r="37">
      <c r="A37">
        <v>33</v>
      </c>
      <c r="B37">
        <f>Proyeccion!L37</f>
        <v>217534</v>
      </c>
      <c r="C37">
        <f>Proyeccion!M37</f>
        <v>22386</v>
      </c>
      <c r="D37">
        <f>Proyeccion!N37</f>
        <v>0</v>
      </c>
      <c r="E37">
        <f>Proyeccion!O37</f>
        <v>22000</v>
      </c>
      <c r="F37">
        <f>B37-C37-D37-E37</f>
        <v>173148</v>
      </c>
      <c r="G37">
        <f>Proyeccion!Q37</f>
        <v>1285606</v>
      </c>
    </row>
    <row r="38">
      <c r="A38">
        <v>34</v>
      </c>
      <c r="B38">
        <f>Proyeccion!L38</f>
        <v>244672</v>
      </c>
      <c r="C38">
        <f>Proyeccion!M38</f>
        <v>25189</v>
      </c>
      <c r="D38">
        <f>Proyeccion!N38</f>
        <v>0</v>
      </c>
      <c r="E38">
        <f>Proyeccion!O38</f>
        <v>22000</v>
      </c>
      <c r="F38">
        <f>B38-C38-D38-E38</f>
        <v>197483</v>
      </c>
      <c r="G38">
        <f>Proyeccion!Q38</f>
        <v>1483089</v>
      </c>
    </row>
    <row r="39">
      <c r="A39">
        <v>35</v>
      </c>
      <c r="B39">
        <f>Proyeccion!L39</f>
        <v>275052</v>
      </c>
      <c r="C39">
        <f>Proyeccion!M39</f>
        <v>28327</v>
      </c>
      <c r="D39">
        <f>Proyeccion!N39</f>
        <v>0</v>
      </c>
      <c r="E39">
        <f>Proyeccion!O39</f>
        <v>22000</v>
      </c>
      <c r="F39">
        <f>B39-C39-D39-E39</f>
        <v>224725</v>
      </c>
      <c r="G39">
        <f>Proyeccion!Q39</f>
        <v>1707815</v>
      </c>
    </row>
    <row r="40">
      <c r="A40">
        <v>36</v>
      </c>
      <c r="B40">
        <f>Proyeccion!L40</f>
        <v>309062</v>
      </c>
      <c r="C40">
        <f>Proyeccion!M40</f>
        <v>31840</v>
      </c>
      <c r="D40">
        <f>Proyeccion!N40</f>
        <v>0</v>
      </c>
      <c r="E40">
        <f>Proyeccion!O40</f>
        <v>22000</v>
      </c>
      <c r="F40">
        <f>B40-C40-D40-E40</f>
        <v>255222</v>
      </c>
      <c r="G40">
        <f>Proyeccion!Q40</f>
        <v>1963037</v>
      </c>
    </row>
  </sheetData>
  <ignoredErrors>
    <ignoredError numberStoredAsText="1" sqref="A1:G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42.83203125" customWidth="1"/>
    <col min="2" max="2" width="18.83203125" customWidth="1"/>
    <col min="3" max="3" width="18.83203125" customWidth="1"/>
  </cols>
  <sheetData>
    <row r="1">
      <c r="A1" t="str">
        <v>ESCENARIOS COMPARADOS</v>
      </c>
    </row>
    <row r="2">
      <c r="A2" t="str">
        <v>Este XLSX se genera con el escenario STRETCH. Para ver el escenario CONSERVATIVE, edita la hoja Hipotesis con los valores de la columna 'Conservador' o consulta src/lib/financial-model.ts (export CONSERVATIVE_ASSUMPTIONS).</v>
      </c>
    </row>
    <row r="4">
      <c r="A4" t="str">
        <v>Variable</v>
      </c>
      <c r="B4" t="str">
        <v>Conservador</v>
      </c>
      <c r="C4" t="str">
        <v>Stretch (default)</v>
      </c>
    </row>
    <row r="5">
      <c r="A5" t="str">
        <v>Visitas SEO mes 1</v>
      </c>
      <c r="B5">
        <v>400</v>
      </c>
      <c r="C5">
        <v>200</v>
      </c>
    </row>
    <row r="6">
      <c r="A6" t="str">
        <v>Crecimiento m-a-m inicial (x)</v>
      </c>
      <c r="B6">
        <v>1.28</v>
      </c>
      <c r="C6">
        <v>1.45</v>
      </c>
    </row>
    <row r="7">
      <c r="A7" t="str">
        <v>Crecimiento m-a-m maduro (x)</v>
      </c>
      <c r="B7">
        <v>1.09</v>
      </c>
      <c r="C7">
        <v>1.12</v>
      </c>
    </row>
    <row r="8">
      <c r="A8" t="str">
        <v>% free tools sobre visitas</v>
      </c>
      <c r="B8">
        <v>0.15</v>
      </c>
      <c r="C8">
        <v>0.15</v>
      </c>
    </row>
    <row r="9">
      <c r="A9" t="str">
        <v>% trials sobre free tools</v>
      </c>
      <c r="B9">
        <v>0.025</v>
      </c>
      <c r="C9">
        <v>0.03</v>
      </c>
    </row>
    <row r="10">
      <c r="A10" t="str">
        <v>% paid sobre trials</v>
      </c>
      <c r="B10">
        <v>0.2</v>
      </c>
      <c r="C10">
        <v>0.3</v>
      </c>
    </row>
    <row r="11">
      <c r="A11" t="str">
        <v>Churn Y1</v>
      </c>
      <c r="B11">
        <v>0.035</v>
      </c>
      <c r="C11">
        <v>0.025</v>
      </c>
    </row>
    <row r="12">
      <c r="A12" t="str">
        <v>Churn Y2</v>
      </c>
      <c r="B12">
        <v>0.025</v>
      </c>
      <c r="C12">
        <v>0.02</v>
      </c>
    </row>
    <row r="13">
      <c r="A13" t="str">
        <v>Churn Y3</v>
      </c>
      <c r="B13">
        <v>0.018</v>
      </c>
      <c r="C13">
        <v>0.015</v>
      </c>
    </row>
    <row r="14">
      <c r="A14" t="str">
        <v>Coste variable / cliente</v>
      </c>
      <c r="B14">
        <v>50</v>
      </c>
      <c r="C14">
        <v>35</v>
      </c>
    </row>
    <row r="15">
      <c r="A15" t="str">
        <v>CAC / nuevo cliente</v>
      </c>
      <c r="B15">
        <v>120</v>
      </c>
      <c r="C15">
        <v>0</v>
      </c>
    </row>
    <row r="16">
      <c r="A16" t="str">
        <v>OPEX fijo Y1 (EUR/mes)</v>
      </c>
      <c r="B16">
        <v>5000</v>
      </c>
      <c r="C16">
        <v>1200</v>
      </c>
    </row>
    <row r="17">
      <c r="A17" t="str">
        <v>OPEX fijo Y2 (EUR/mes)</v>
      </c>
      <c r="B17">
        <v>14000</v>
      </c>
      <c r="C17">
        <v>8500</v>
      </c>
    </row>
    <row r="18">
      <c r="A18" t="str">
        <v>OPEX fijo Y3 (EUR/mes)</v>
      </c>
      <c r="B18">
        <v>32000</v>
      </c>
      <c r="C18">
        <v>22000</v>
      </c>
    </row>
    <row r="19">
      <c r="A19" t="str">
        <v>% mix INICIA / DESPACHO / FIRMA</v>
      </c>
      <c r="B19" t="str">
        <v>55/38/7</v>
      </c>
      <c r="C19" t="str">
        <v>40/50/10</v>
      </c>
    </row>
    <row r="21">
      <c r="A21" t="str">
        <v>Resultados M36 (valores aproximados del motor):</v>
      </c>
    </row>
    <row r="22">
      <c r="A22" t="str">
        <v>Clientes finales</v>
      </c>
      <c r="B22">
        <v>213</v>
      </c>
      <c r="C22">
        <v>910</v>
      </c>
    </row>
    <row r="23">
      <c r="A23" t="str">
        <v>ARR fin (EUR/anyo)</v>
      </c>
      <c r="B23">
        <v>681000</v>
      </c>
      <c r="C23">
        <v>3373000</v>
      </c>
    </row>
    <row r="24">
      <c r="A24" t="str">
        <v>Revenue total acumulado 36m (EUR)</v>
      </c>
      <c r="B24">
        <v>600000</v>
      </c>
      <c r="C24">
        <v>2610000</v>
      </c>
    </row>
    <row r="25">
      <c r="A25" t="str">
        <v>EBITDA Y3 (EUR)</v>
      </c>
      <c r="B25">
        <v>-26000</v>
      </c>
      <c r="C25">
        <v>1620000</v>
      </c>
    </row>
    <row r="26">
      <c r="A26" t="str">
        <v>Margen EBITDA Y3</v>
      </c>
      <c r="B26" t="str">
        <v>-6%</v>
      </c>
      <c r="C26" t="str">
        <v>77%</v>
      </c>
    </row>
    <row r="27">
      <c r="A27" t="str">
        <v>Break-even (mes)</v>
      </c>
      <c r="B27" t="str">
        <v>no alcanzado</v>
      </c>
      <c r="C27">
        <v>8</v>
      </c>
    </row>
    <row r="28">
      <c r="A28" t="str">
        <v>Capital necesario (EUR)</v>
      </c>
      <c r="B28">
        <v>174000</v>
      </c>
      <c r="C28">
        <v>3200</v>
      </c>
    </row>
  </sheetData>
  <ignoredErrors>
    <ignoredError numberStoredAsText="1" sqref="A1:C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59"/>
  <sheetViews>
    <sheetView workbookViewId="0"/>
  </sheetViews>
  <cols>
    <col min="1" max="1" width="80.83203125" customWidth="1"/>
  </cols>
  <sheetData>
    <row r="1">
      <c r="A1" t="str">
        <v>Heredia - Notas metodologicas</v>
      </c>
    </row>
    <row r="2">
      <c r="A2" t="str">
        <v/>
      </c>
    </row>
    <row r="3">
      <c r="A3" t="str">
        <v>EMBUDO DE ADQUISICION</v>
      </c>
    </row>
    <row r="4">
      <c r="A4" t="str">
        <v>Visitas SEO -&gt; Free tool sessions -&gt; Trials -&gt; Paying customers</v>
      </c>
    </row>
    <row r="5">
      <c r="A5" t="str">
        <v>Cada conversion tiene su tasa parametrizable en Hipotesis.</v>
      </c>
    </row>
    <row r="6">
      <c r="A6" t="str">
        <v/>
      </c>
    </row>
    <row r="7">
      <c r="A7" t="str">
        <v>CRECIMIENTO ORGANICO</v>
      </c>
    </row>
    <row r="8">
      <c r="A8" t="str">
        <v>El SEO crece compounding al principio (paginas indexan, backlinks suman)</v>
      </c>
    </row>
    <row r="9">
      <c r="A9" t="str">
        <v>y se modera cuando se agota el long-tail. Cap configurable en Hipotesis!C7.</v>
      </c>
    </row>
    <row r="10">
      <c r="A10" t="str">
        <v/>
      </c>
    </row>
    <row r="11">
      <c r="A11" t="str">
        <v>CHURN</v>
      </c>
    </row>
    <row r="12">
      <c r="A12" t="str">
        <v>Decreciente con la madurez (Y1 mas alto, Y3 mas bajo).</v>
      </c>
    </row>
    <row r="13">
      <c r="A13" t="str">
        <v>Aplicado al saldo de clientes a fin del mes anterior.</v>
      </c>
    </row>
    <row r="14">
      <c r="A14" t="str">
        <v/>
      </c>
    </row>
    <row r="15">
      <c r="A15" t="str">
        <v>ARPU</v>
      </c>
    </row>
    <row r="16">
      <c r="A16" t="str">
        <v>Precio medio ponderado por mix de planes.</v>
      </c>
    </row>
    <row r="17">
      <c r="A17" t="str">
        <v>Editar el mix en Hipotesis para reflejar tu estrategia comercial.</v>
      </c>
    </row>
    <row r="18">
      <c r="A18" t="str">
        <v>Si cambias el mix, asegurate de que la suma sea 1.0 (o ajusta a porcentajes).</v>
      </c>
    </row>
    <row r="19">
      <c r="A19" t="str">
        <v/>
      </c>
    </row>
    <row r="20">
      <c r="A20" t="str">
        <v>COSTE VARIABLE</v>
      </c>
    </row>
    <row r="21">
      <c r="A21" t="str">
        <v>Por cliente al mes incluye: Vercel/DB/S3, Anthropic API,</v>
      </c>
    </row>
    <row r="22">
      <c r="A22" t="str">
        <v>email transaccional, Stripe fees (~3%) y soporte humano basico</v>
      </c>
    </row>
    <row r="23">
      <c r="A23" t="str">
        <v>(30 min/cliente/mes en escenario conservador).</v>
      </c>
    </row>
    <row r="24">
      <c r="A24" t="str">
        <v/>
      </c>
    </row>
    <row r="25">
      <c r="A25" t="str">
        <v>CAC</v>
      </c>
    </row>
    <row r="26">
      <c r="A26" t="str">
        <v>Coste de adquisicion blended: amortizacion del contenido SEO publicado</v>
      </c>
    </row>
    <row r="27">
      <c r="A27" t="str">
        <v>+ paid puntual. Default STRETCH = 0 (asume 100% organico).</v>
      </c>
    </row>
    <row r="28">
      <c r="A28" t="str">
        <v>Default CONSERVATIVE = 120 EUR/cliente nuevo.</v>
      </c>
    </row>
    <row r="29">
      <c r="A29" t="str">
        <v/>
      </c>
    </row>
    <row r="30">
      <c r="A30" t="str">
        <v>SETUP FEE</v>
      </c>
    </row>
    <row r="31">
      <c r="A31" t="str">
        <v>Cuota unica al activar planes Despacho (299 EUR) y Firma (990 EUR).</v>
      </c>
    </row>
    <row r="32">
      <c r="A32" t="str">
        <v>El motor calcula el promedio ponderado por mix y lo aplica a cada nuevo</v>
      </c>
    </row>
    <row r="33">
      <c r="A33" t="str">
        <v>cliente. Se contabiliza como revenue puntual en Revenue total.</v>
      </c>
    </row>
    <row r="34">
      <c r="A34" t="str">
        <v/>
      </c>
    </row>
    <row r="35">
      <c r="A35" t="str">
        <v>OPEX FIJO (escenario STRETCH default)</v>
      </c>
    </row>
    <row r="36">
      <c r="A36" t="str">
        <v>Y1: founder sin sueldo + tools + dominios = 1.200/mes</v>
      </c>
    </row>
    <row r="37">
      <c r="A37" t="str">
        <v>Y2: +1 perfil soporte (~30k anuales) = 8.500/mes</v>
      </c>
    </row>
    <row r="38">
      <c r="A38" t="str">
        <v>Y3: +1 perfil sales + marketing pagado = 22.000/mes</v>
      </c>
    </row>
    <row r="39">
      <c r="A39" t="str">
        <v/>
      </c>
    </row>
    <row r="40">
      <c r="A40" t="str">
        <v>OPEX FIJO (escenario CONSERVATIVE)</v>
      </c>
    </row>
    <row r="41">
      <c r="A41" t="str">
        <v>Y1: payroll fundador minimo + tools + legal + DPO + RC = 5.000/mes</v>
      </c>
    </row>
    <row r="42">
      <c r="A42" t="str">
        <v>Y2: +1 FTE customer success/soporte = 14.000/mes</v>
      </c>
    </row>
    <row r="43">
      <c r="A43" t="str">
        <v>Y3: +2 FTE dev + sales/marketing + content = 32.000/mes</v>
      </c>
    </row>
    <row r="44">
      <c r="A44" t="str">
        <v/>
      </c>
    </row>
    <row r="45">
      <c r="A45" t="str">
        <v>LIMITACIONES DEL MODELO</v>
      </c>
    </row>
    <row r="46">
      <c r="A46" t="str">
        <v>1. No considera estacionalidad (mortalidad varia por mes)</v>
      </c>
    </row>
    <row r="47">
      <c r="A47" t="str">
        <v>2. Asume conversion lineal; en realidad hay efecto cohorte</v>
      </c>
    </row>
    <row r="48">
      <c r="A48" t="str">
        <v>3. No incluye recargos por overage (expedientes extra)</v>
      </c>
    </row>
    <row r="49">
      <c r="A49" t="str">
        <v>4. No considera precio anual con descuento (suele dar +15% LTV)</v>
      </c>
    </row>
    <row r="50">
      <c r="A50" t="str">
        <v>5. Supone bootstrap: si levantas capital, ajusta OPEX</v>
      </c>
    </row>
    <row r="51">
      <c r="A51" t="str">
        <v>6. No incluye IVA ni Impuesto de Sociedades (25%)</v>
      </c>
    </row>
    <row r="52">
      <c r="A52" t="str">
        <v>7. No incluye bad debt (1-3% tipico SaaS B2B)</v>
      </c>
    </row>
    <row r="53">
      <c r="A53" t="str">
        <v/>
      </c>
    </row>
    <row r="54">
      <c r="A54" t="str">
        <v>COMO USAR</v>
      </c>
    </row>
    <row r="55">
      <c r="A55" t="str">
        <v>1. Edita las Hipotesis en la primera hoja con tus propios numeros</v>
      </c>
    </row>
    <row r="56">
      <c r="A56" t="str">
        <v>2. Las hojas Proyeccion, Resumen anual y Cash flow recalcularan automaticamente</v>
      </c>
    </row>
    <row r="57">
      <c r="A57" t="str">
        <v>3. Si Excel no recalcula, presiona F9 (PC) o Cmd+= (Mac)</v>
      </c>
    </row>
    <row r="58">
      <c r="A58" t="str">
        <v>4. Para el escenario CONSERVATIVE, edita Hipotesis con los valores de la</v>
      </c>
    </row>
    <row r="59">
      <c r="A59" t="str">
        <v xml:space="preserve">   hoja Escenarios (columna B) o consulta CONSERVATIVE_ASSUMPTIONS en el codigo</v>
      </c>
    </row>
  </sheetData>
  <ignoredErrors>
    <ignoredError numberStoredAsText="1" sqref="A1:A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Hipotesis</vt:lpstr>
      <vt:lpstr>Proyeccion</vt:lpstr>
      <vt:lpstr>Resumen anual</vt:lpstr>
      <vt:lpstr>Cash flow</vt:lpstr>
      <vt:lpstr>Escenarios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2026-05-28T18:16:11Z</dcterms:created>
  <dc:creator>Heredia</dc:creator>
  <dc:title>Heredia - Modelo financiero</dc:title>
</cp:coreProperties>
</file>